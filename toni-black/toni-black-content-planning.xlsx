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nduan" sheetId="1" state="visible" r:id="rId1"/>
    <sheet name="Content Pillars" sheetId="2" state="visible" r:id="rId2"/>
    <sheet name="Riset Kompetitor" sheetId="3" state="visible" r:id="rId3"/>
    <sheet name="Kalodata - Top Produk" sheetId="4" state="visible" r:id="rId4"/>
    <sheet name="Kalodata - Creator &amp; Format" sheetId="5" state="visible" r:id="rId5"/>
    <sheet name="Hook Bank" sheetId="6" state="visible" r:id="rId6"/>
    <sheet name="Planning 30 Hari" sheetId="7" state="visible" r:id="rId7"/>
    <sheet name="Performance Tracker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 MMM YYYY"/>
    <numFmt numFmtId="165" formatCode="0.0%"/>
  </numFmts>
  <fonts count="9">
    <font>
      <name val="Calibri"/>
      <family val="2"/>
      <color theme="1"/>
      <sz val="11"/>
      <scheme val="minor"/>
    </font>
    <font>
      <name val="Arial"/>
      <b val="1"/>
      <sz val="16"/>
    </font>
    <font>
      <name val="Arial"/>
      <i val="1"/>
      <sz val="10"/>
    </font>
    <font>
      <name val="Arial"/>
      <b val="1"/>
      <sz val="10"/>
    </font>
    <font>
      <name val="Arial"/>
      <sz val="10"/>
    </font>
    <font>
      <name val="Arial"/>
      <b val="1"/>
      <color rgb="00FFFFFF"/>
      <sz val="10"/>
    </font>
    <font>
      <name val="Arial"/>
      <i val="1"/>
      <sz val="9"/>
    </font>
    <font>
      <name val="Arial"/>
      <color rgb="000000FF"/>
      <sz val="10"/>
    </font>
    <font>
      <name val="Arial"/>
      <b val="1"/>
      <color rgb="00FFFFFF"/>
      <sz val="12"/>
    </font>
  </fonts>
  <fills count="12">
    <fill>
      <patternFill/>
    </fill>
    <fill>
      <patternFill patternType="gray125"/>
    </fill>
    <fill>
      <patternFill patternType="solid">
        <fgColor rgb="00FFFF00"/>
      </patternFill>
    </fill>
    <fill>
      <patternFill patternType="solid">
        <fgColor rgb="001F1F1F"/>
      </patternFill>
    </fill>
    <fill>
      <patternFill patternType="solid">
        <fgColor rgb="00DDEBF7"/>
      </patternFill>
    </fill>
    <fill>
      <patternFill patternType="solid">
        <fgColor rgb="00E2EFDA"/>
      </patternFill>
    </fill>
    <fill>
      <patternFill patternType="solid">
        <fgColor rgb="00FFF2CC"/>
      </patternFill>
    </fill>
    <fill>
      <patternFill patternType="solid">
        <fgColor rgb="00FCE4D6"/>
      </patternFill>
    </fill>
    <fill>
      <patternFill patternType="solid">
        <fgColor rgb="00EAD1DC"/>
      </patternFill>
    </fill>
    <fill>
      <patternFill patternType="solid">
        <fgColor rgb="00D4AF37"/>
      </patternFill>
    </fill>
    <fill>
      <patternFill patternType="solid">
        <fgColor rgb="00F2F2F2"/>
      </patternFill>
    </fill>
    <fill>
      <patternFill patternType="solid">
        <fgColor rgb="00595959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4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applyAlignment="1" pivotButton="0" quotePrefix="0" xfId="0">
      <alignment vertical="top" wrapText="1"/>
    </xf>
    <xf numFmtId="0" fontId="3" fillId="2" borderId="0" pivotButton="0" quotePrefix="0" xfId="0"/>
    <xf numFmtId="0" fontId="5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  <xf numFmtId="9" fontId="4" fillId="0" borderId="1" applyAlignment="1" pivotButton="0" quotePrefix="0" xfId="0">
      <alignment vertical="top" wrapText="1"/>
    </xf>
    <xf numFmtId="0" fontId="4" fillId="0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vertical="top" wrapText="1"/>
    </xf>
    <xf numFmtId="0" fontId="3" fillId="6" borderId="1" applyAlignment="1" pivotButton="0" quotePrefix="0" xfId="0">
      <alignment vertical="top" wrapText="1"/>
    </xf>
    <xf numFmtId="0" fontId="3" fillId="7" borderId="1" applyAlignment="1" pivotButton="0" quotePrefix="0" xfId="0">
      <alignment vertical="top" wrapText="1"/>
    </xf>
    <xf numFmtId="0" fontId="3" fillId="8" borderId="1" applyAlignment="1" pivotButton="0" quotePrefix="0" xfId="0">
      <alignment vertical="top" wrapText="1"/>
    </xf>
    <xf numFmtId="0" fontId="3" fillId="0" borderId="1" applyAlignment="1" pivotButton="0" quotePrefix="0" xfId="0">
      <alignment vertical="top" wrapText="1"/>
    </xf>
    <xf numFmtId="0" fontId="3" fillId="9" borderId="0" applyAlignment="1" pivotButton="0" quotePrefix="0" xfId="0">
      <alignment vertical="top" wrapText="1"/>
    </xf>
    <xf numFmtId="0" fontId="6" fillId="0" borderId="0" pivotButton="0" quotePrefix="0" xfId="0"/>
    <xf numFmtId="164" fontId="4" fillId="0" borderId="1" applyAlignment="1" pivotButton="0" quotePrefix="0" xfId="0">
      <alignment horizontal="center" vertical="center" wrapText="1"/>
    </xf>
    <xf numFmtId="0" fontId="4" fillId="7" borderId="1" applyAlignment="1" pivotButton="0" quotePrefix="0" xfId="0">
      <alignment vertical="top" wrapText="1"/>
    </xf>
    <xf numFmtId="0" fontId="4" fillId="2" borderId="1" applyAlignment="1" pivotButton="0" quotePrefix="0" xfId="0">
      <alignment vertical="top" wrapText="1"/>
    </xf>
    <xf numFmtId="0" fontId="4" fillId="4" borderId="1" applyAlignment="1" pivotButton="0" quotePrefix="0" xfId="0">
      <alignment vertical="top" wrapText="1"/>
    </xf>
    <xf numFmtId="0" fontId="4" fillId="5" borderId="1" applyAlignment="1" pivotButton="0" quotePrefix="0" xfId="0">
      <alignment vertical="top" wrapText="1"/>
    </xf>
    <xf numFmtId="0" fontId="4" fillId="6" borderId="1" applyAlignment="1" pivotButton="0" quotePrefix="0" xfId="0">
      <alignment vertical="top" wrapText="1"/>
    </xf>
    <xf numFmtId="0" fontId="4" fillId="8" borderId="1" applyAlignment="1" pivotButton="0" quotePrefix="0" xfId="0">
      <alignment vertical="top" wrapText="1"/>
    </xf>
    <xf numFmtId="164" fontId="7" fillId="0" borderId="1" applyAlignment="1" pivotButton="0" quotePrefix="0" xfId="0">
      <alignment vertical="top" wrapText="1"/>
    </xf>
    <xf numFmtId="0" fontId="7" fillId="0" borderId="1" applyAlignment="1" pivotButton="0" quotePrefix="0" xfId="0">
      <alignment vertical="top" wrapText="1"/>
    </xf>
    <xf numFmtId="3" fontId="7" fillId="0" borderId="1" applyAlignment="1" pivotButton="0" quotePrefix="0" xfId="0">
      <alignment vertical="top" wrapText="1"/>
    </xf>
    <xf numFmtId="165" fontId="4" fillId="0" borderId="1" pivotButton="0" quotePrefix="0" xfId="0"/>
    <xf numFmtId="10" fontId="4" fillId="0" borderId="1" pivotButton="0" quotePrefix="0" xfId="0"/>
    <xf numFmtId="164" fontId="4" fillId="2" borderId="1" pivotButton="0" quotePrefix="0" xfId="0"/>
    <xf numFmtId="0" fontId="4" fillId="2" borderId="1" pivotButton="0" quotePrefix="0" xfId="0"/>
    <xf numFmtId="3" fontId="4" fillId="2" borderId="1" pivotButton="0" quotePrefix="0" xfId="0"/>
    <xf numFmtId="0" fontId="3" fillId="10" borderId="1" pivotButton="0" quotePrefix="0" xfId="0"/>
    <xf numFmtId="0" fontId="0" fillId="10" borderId="1" pivotButton="0" quotePrefix="0" xfId="0"/>
    <xf numFmtId="3" fontId="3" fillId="10" borderId="1" pivotButton="0" quotePrefix="0" xfId="0"/>
    <xf numFmtId="165" fontId="3" fillId="10" borderId="1" pivotButton="0" quotePrefix="0" xfId="0"/>
    <xf numFmtId="10" fontId="3" fillId="10" borderId="1" pivotButton="0" quotePrefix="0" xfId="0"/>
    <xf numFmtId="0" fontId="6" fillId="0" borderId="0" applyAlignment="1" pivotButton="0" quotePrefix="0" xfId="0">
      <alignment vertical="top" wrapText="1"/>
    </xf>
    <xf numFmtId="3" fontId="4" fillId="0" borderId="1" applyAlignment="1" pivotButton="0" quotePrefix="0" xfId="0">
      <alignment horizontal="center" vertical="center" wrapText="1"/>
    </xf>
    <xf numFmtId="0" fontId="8" fillId="3" borderId="0" applyAlignment="1" pivotButton="0" quotePrefix="0" xfId="0">
      <alignment horizontal="center" vertical="center" wrapText="1"/>
    </xf>
    <xf numFmtId="0" fontId="5" fillId="11" borderId="1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vertical="top" wrapText="1"/>
    </xf>
    <xf numFmtId="165" fontId="4" fillId="0" borderId="1" pivotButton="0" quotePrefix="0" xfId="0"/>
    <xf numFmtId="164" fontId="4" fillId="2" borderId="1" pivotButton="0" quotePrefix="0" xfId="0"/>
    <xf numFmtId="165" fontId="3" fillId="1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32" customWidth="1" min="1" max="1"/>
    <col width="100" customWidth="1" min="2" max="2"/>
  </cols>
  <sheetData>
    <row r="1">
      <c r="A1" s="1" t="inlineStr">
        <is>
          <t>TONI BLACK — TikTok Content Planning</t>
        </is>
      </c>
    </row>
    <row r="2">
      <c r="A2" s="2" t="inlineStr">
        <is>
          <t>Celana dalam pria premium (Rp100.000/pcs) | Target: SES A | Periode: 27 Jul – 25 Agu 2026</t>
        </is>
      </c>
    </row>
    <row r="3">
      <c r="A3" s="3" t="inlineStr"/>
      <c r="B3" s="4" t="inlineStr"/>
    </row>
    <row r="4">
      <c r="A4" s="3" t="inlineStr">
        <is>
          <t>CARA PAKAI WORKBOOK INI</t>
        </is>
      </c>
      <c r="B4" s="4" t="inlineStr"/>
    </row>
    <row r="5">
      <c r="A5" s="3" t="inlineStr">
        <is>
          <t>Sheet 'Planning 30 Hari'</t>
        </is>
      </c>
      <c r="B5" s="4" t="inlineStr">
        <is>
          <t>Kalender konten harian yang sudah terisi 30 ide. Edit kolom PIC dan Status saat produksi berjalan. Ide boleh digeser antar tanggal, jaga rasio pillar per minggu.</t>
        </is>
      </c>
    </row>
    <row r="6">
      <c r="A6" s="3" t="inlineStr">
        <is>
          <t>Sheet 'Content Pillars'</t>
        </is>
      </c>
      <c r="B6" s="4" t="inlineStr">
        <is>
          <t>Definisi 5 pillar, porsi, dan tujuannya. Acuan saat membuat ide baru.</t>
        </is>
      </c>
    </row>
    <row r="7">
      <c r="A7" s="3" t="inlineStr">
        <is>
          <t>Sheet 'Hook Bank'</t>
        </is>
      </c>
      <c r="B7" s="4" t="inlineStr">
        <is>
          <t>Kumpulan formula hook 3 detik pertama, siap pakai/modifikasi.</t>
        </is>
      </c>
    </row>
    <row r="8">
      <c r="A8" s="3" t="inlineStr">
        <is>
          <t>Sheet 'Riset Kompetitor'</t>
        </is>
      </c>
      <c r="B8" s="4" t="inlineStr">
        <is>
          <t>Peta kompetitor di tier harga Rp100rb/pcs beserta celahnya.</t>
        </is>
      </c>
    </row>
    <row r="9">
      <c r="A9" s="3" t="inlineStr">
        <is>
          <t>Sheet 'Performance Tracker'</t>
        </is>
      </c>
      <c r="B9" s="4" t="inlineStr">
        <is>
          <t>Isi angka metrik tiap video H+3 dan H+7. Kolom Engagement Rate &amp; CTR terhitung otomatis (jangan diketik manual).</t>
        </is>
      </c>
    </row>
    <row r="10">
      <c r="A10" s="3" t="inlineStr"/>
      <c r="B10" s="4" t="inlineStr"/>
    </row>
    <row r="11">
      <c r="A11" s="3" t="inlineStr">
        <is>
          <t>LEGENDA SEL</t>
        </is>
      </c>
      <c r="B11" s="4" t="inlineStr"/>
    </row>
    <row r="12">
      <c r="A12" s="5" t="inlineStr">
        <is>
          <t>Sel kuning</t>
        </is>
      </c>
      <c r="B12" s="4" t="inlineStr">
        <is>
          <t>Sel yang perlu kamu isi/update manual.</t>
        </is>
      </c>
    </row>
    <row r="13">
      <c r="A13" s="3" t="inlineStr">
        <is>
          <t>Teks biru</t>
        </is>
      </c>
      <c r="B13" s="4" t="inlineStr">
        <is>
          <t>Contoh nilai — ganti dengan data asli.</t>
        </is>
      </c>
    </row>
    <row r="14">
      <c r="A14" s="3" t="inlineStr">
        <is>
          <t>Baris 'CONTOH' di Tracker</t>
        </is>
      </c>
      <c r="B14" s="4" t="inlineStr">
        <is>
          <t>Satu baris contoh format pengisian yang realistis. Hapus setelah paham.</t>
        </is>
      </c>
    </row>
    <row r="15">
      <c r="A15" s="3" t="inlineStr"/>
      <c r="B15" s="4" t="inlineStr"/>
    </row>
    <row r="16">
      <c r="A16" s="3" t="inlineStr">
        <is>
          <t>STATUS YANG DIPAKAI</t>
        </is>
      </c>
      <c r="B16" s="4" t="inlineStr">
        <is>
          <t>Ide / Script / Shooting / Editing / Scheduled / Posted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30" customWidth="1" min="2" max="2"/>
    <col width="12" customWidth="1" min="3" max="3"/>
    <col width="14" customWidth="1" min="4" max="4"/>
    <col width="42" customWidth="1" min="5" max="5"/>
    <col width="70" customWidth="1" min="6" max="6"/>
  </cols>
  <sheetData>
    <row r="1">
      <c r="A1" s="6" t="inlineStr">
        <is>
          <t>Pillar</t>
        </is>
      </c>
      <c r="B1" s="6" t="inlineStr">
        <is>
          <t>Nama</t>
        </is>
      </c>
      <c r="C1" s="6" t="inlineStr">
        <is>
          <t>Porsi Konten</t>
        </is>
      </c>
      <c r="D1" s="6" t="inlineStr">
        <is>
          <t>Video / 30 hari</t>
        </is>
      </c>
      <c r="E1" s="6" t="inlineStr">
        <is>
          <t>Tujuan</t>
        </is>
      </c>
      <c r="F1" s="6" t="inlineStr">
        <is>
          <t>Kenapa Berfungsi untuk Produk Underwear</t>
        </is>
      </c>
    </row>
    <row r="2">
      <c r="A2" s="7" t="inlineStr">
        <is>
          <t>P1 - Edukasi &amp; Kesehatan</t>
        </is>
      </c>
      <c r="B2" s="8" t="inlineStr">
        <is>
          <t>Underwear 101</t>
        </is>
      </c>
      <c r="C2" s="9" t="n">
        <v>0.3</v>
      </c>
      <c r="D2" s="10" t="n">
        <v>9</v>
      </c>
      <c r="E2" s="8" t="inlineStr">
        <is>
          <t>Reach &amp; trust — jadi sumber pengetahuan kategori</t>
        </is>
      </c>
      <c r="F2" s="8" t="inlineStr">
        <is>
          <t>Topik kesehatan area intim pria jarang dibahas, curiosity tinggi, aman dari moderasi TikTok karena tidak menampilkan produk di tubuh.</t>
        </is>
      </c>
    </row>
    <row r="3">
      <c r="A3" s="11" t="inlineStr">
        <is>
          <t>P2 - Tes &amp; Demo Produk</t>
        </is>
      </c>
      <c r="B3" s="8" t="inlineStr">
        <is>
          <t>Buktikan, Jangan Klaim</t>
        </is>
      </c>
      <c r="C3" s="9" t="n">
        <v>0.25</v>
      </c>
      <c r="D3" s="10" t="n">
        <v>8</v>
      </c>
      <c r="E3" s="8" t="inlineStr">
        <is>
          <t>Justifikasi harga — menjawab 'kenapa 100 ribu untuk 1 pcs'</t>
        </is>
      </c>
      <c r="F3" s="8" t="inlineStr">
        <is>
          <t>Demo stretch/serap air/timbang gramasi itu visual &amp; satisfying. Head-to-head vs CD 10 ribuan = hook paling kuat di kategori ini.</t>
        </is>
      </c>
    </row>
    <row r="4">
      <c r="A4" s="12" t="inlineStr">
        <is>
          <t>P3 - Lifestyle Premium</t>
        </is>
      </c>
      <c r="B4" s="8" t="inlineStr">
        <is>
          <t>Quiet Luxury Starts Underneath</t>
        </is>
      </c>
      <c r="C4" s="9" t="n">
        <v>0.2</v>
      </c>
      <c r="D4" s="10" t="n">
        <v>6</v>
      </c>
      <c r="E4" s="8" t="inlineStr">
        <is>
          <t>Aspirasi — masuk ke dunia target SES A</t>
        </is>
      </c>
      <c r="F4" s="8" t="inlineStr">
        <is>
          <t>Menunggangi tren self-care pria &amp; quiet luxury; juga menjangkau pembeli perempuan lewat angle kado untuk suami/pacar.</t>
        </is>
      </c>
    </row>
    <row r="5">
      <c r="A5" s="13" t="inlineStr">
        <is>
          <t>P4 - Brand Story &amp; BTS</t>
        </is>
      </c>
      <c r="B5" s="8" t="inlineStr">
        <is>
          <t>Berani Mahal, Berani Jawab</t>
        </is>
      </c>
      <c r="C5" s="9" t="n">
        <v>0.15</v>
      </c>
      <c r="D5" s="10" t="n">
        <v>4</v>
      </c>
      <c r="E5" s="8" t="inlineStr">
        <is>
          <t>Diferensiasi — brand punya wajah dan alasan</t>
        </is>
      </c>
      <c r="F5" s="8" t="inlineStr">
        <is>
          <t>Founder yang menjawab langsung komentar 'kemahalan' membangun respect. BTS QC = bukti standar premium tanpa perlu klaim.</t>
        </is>
      </c>
    </row>
    <row r="6">
      <c r="A6" s="14" t="inlineStr">
        <is>
          <t>P5 - Social Proof &amp; Selling</t>
        </is>
      </c>
      <c r="B6" s="8" t="inlineStr">
        <is>
          <t>Konversi</t>
        </is>
      </c>
      <c r="C6" s="9" t="n">
        <v>0.1</v>
      </c>
      <c r="D6" s="10" t="n">
        <v>3</v>
      </c>
      <c r="E6" s="8" t="inlineStr">
        <is>
          <t>Konversi ke keranjang kuning &amp; live shopping</t>
        </is>
      </c>
      <c r="F6" s="8" t="inlineStr">
        <is>
          <t>Testimoni terkuat justru dari istri/pacar yang membelikan. Momen gajian (tgl 25) = waktu terbaik konten selling.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20" customWidth="1" min="2" max="2"/>
    <col width="34" customWidth="1" min="3" max="3"/>
    <col width="34" customWidth="1" min="4" max="4"/>
    <col width="48" customWidth="1" min="5" max="5"/>
    <col width="24" customWidth="1" min="6" max="6"/>
  </cols>
  <sheetData>
    <row r="1">
      <c r="A1" s="6" t="inlineStr">
        <is>
          <t>Brand</t>
        </is>
      </c>
      <c r="B1" s="6" t="inlineStr">
        <is>
          <t>Harga per Pcs</t>
        </is>
      </c>
      <c r="C1" s="6" t="inlineStr">
        <is>
          <t>Positioning</t>
        </is>
      </c>
      <c r="D1" s="6" t="inlineStr">
        <is>
          <t>Kekuatan</t>
        </is>
      </c>
      <c r="E1" s="6" t="inlineStr">
        <is>
          <t>Kelemahan / Celah untuk Toni Black</t>
        </is>
      </c>
      <c r="F1" s="6" t="inlineStr">
        <is>
          <t>Aktivitas TikTok</t>
        </is>
      </c>
    </row>
    <row r="2">
      <c r="A2" s="15" t="inlineStr">
        <is>
          <t>Calvin Klein</t>
        </is>
      </c>
      <c r="B2" s="8" t="inlineStr">
        <is>
          <t>Rp150–350rb</t>
        </is>
      </c>
      <c r="C2" s="8" t="inlineStr">
        <is>
          <t>Ikon global, logo waistband, status</t>
        </is>
      </c>
      <c r="D2" s="8" t="inlineStr">
        <is>
          <t>Brand equity terkuat, benchmark 'CD mahal'</t>
        </is>
      </c>
      <c r="E2" s="8" t="inlineStr">
        <is>
          <t>Terasa 'brand mall', tidak relatable, hampir tanpa konten TikTok lokal Indonesia</t>
        </is>
      </c>
      <c r="F2" s="8" t="inlineStr">
        <is>
          <t>Minim (global campaign saja)</t>
        </is>
      </c>
    </row>
    <row r="3">
      <c r="A3" s="15" t="inlineStr">
        <is>
          <t>UNIQLO AIRism</t>
        </is>
      </c>
      <c r="B3" s="8" t="inlineStr">
        <is>
          <t>± Rp99–149rb</t>
        </is>
      </c>
      <c r="C3" s="8" t="inlineStr">
        <is>
          <t>Teknologi bahan: adem, quick-dry, minimalis</t>
        </is>
      </c>
      <c r="D3" s="8" t="inlineStr">
        <is>
          <t>Edukasi bahan baik, distribusi offline luas</t>
        </is>
      </c>
      <c r="E3" s="8" t="inlineStr">
        <is>
          <t>Konten fungsional-datar, tidak main TikTok Shop, tanpa kreator lokal</t>
        </is>
      </c>
      <c r="F3" s="8" t="inlineStr">
        <is>
          <t>Minim</t>
        </is>
      </c>
    </row>
    <row r="4">
      <c r="A4" s="15" t="inlineStr">
        <is>
          <t>Byford</t>
        </is>
      </c>
      <c r="B4" s="8" t="inlineStr">
        <is>
          <t>Rp69–135rb</t>
        </is>
      </c>
      <c r="C4" s="8" t="inlineStr">
        <is>
          <t>Klasik department store</t>
        </is>
      </c>
      <c r="D4" s="8" t="inlineStr">
        <is>
          <t>Distribusi luas (Blibli, dept. store)</t>
        </is>
      </c>
      <c r="E4" s="8" t="inlineStr">
        <is>
          <t>Persepsi 'brand bapak-bapak', nyaris nol presence TikTok</t>
        </is>
      </c>
      <c r="F4" s="8" t="inlineStr">
        <is>
          <t>Hampir tidak ada</t>
        </is>
      </c>
    </row>
    <row r="5">
      <c r="A5" s="15" t="inlineStr">
        <is>
          <t>Pierre Cardin Underwear</t>
        </is>
      </c>
      <c r="B5" s="8" t="inlineStr">
        <is>
          <t>± Rp50–100rb</t>
        </is>
      </c>
      <c r="C5" s="8" t="inlineStr">
        <is>
          <t>Heritage brand Prancis</t>
        </is>
      </c>
      <c r="D5" s="8" t="inlineStr">
        <is>
          <t>Nama besar, tersedia di Zalora</t>
        </is>
      </c>
      <c r="E5" s="8" t="inlineStr">
        <is>
          <t>Mengandalkan nama lama, tanpa konten &amp; komunitas</t>
        </is>
      </c>
      <c r="F5" s="8" t="inlineStr">
        <is>
          <t>Hampir tidak ada</t>
        </is>
      </c>
    </row>
    <row r="6">
      <c r="A6" s="15" t="inlineStr">
        <is>
          <t>Rider Premium (R812B dsb.)</t>
        </is>
      </c>
      <c r="B6" s="8" t="inlineStr">
        <is>
          <t>Lini premium brand legacy lokal</t>
        </is>
      </c>
      <c r="C6" s="8" t="inlineStr">
        <is>
          <t>Katun Australia, Shrunkenize (anti-ciut), Sanitized (anti-bakteri)</t>
        </is>
      </c>
      <c r="D6" s="8" t="inlineStr">
        <is>
          <t>Trust lokal sejak 1955, klaim teknologi jelas</t>
        </is>
      </c>
      <c r="E6" s="8" t="inlineStr">
        <is>
          <t>Payung brand identik produk murah; konten TikTok generik</t>
        </is>
      </c>
      <c r="F6" s="8" t="inlineStr">
        <is>
          <t>Ada, tapi generik</t>
        </is>
      </c>
    </row>
    <row r="7">
      <c r="A7" s="15" t="inlineStr">
        <is>
          <t>DTC micromodal lokal (Prodigo dsb.)</t>
        </is>
      </c>
      <c r="B7" s="8" t="inlineStr">
        <is>
          <t>Rp70–150rb</t>
        </is>
      </c>
      <c r="C7" s="8" t="inlineStr">
        <is>
          <t>Bahan micromodal/bambu, super lembut</t>
        </is>
      </c>
      <c r="D7" s="8" t="inlineStr">
        <is>
          <t>Bahan modern sesuai selera premium</t>
        </is>
      </c>
      <c r="E7" s="8" t="inlineStr">
        <is>
          <t>Skala kecil, tanpa storytelling &amp; video</t>
        </is>
      </c>
      <c r="F7" s="8" t="inlineStr">
        <is>
          <t>Minim</t>
        </is>
      </c>
    </row>
    <row r="8">
      <c r="A8" s="15" t="inlineStr">
        <is>
          <t>Mass-market TikTok (ice silk 6–12 pcs / 100rb)</t>
        </is>
      </c>
      <c r="B8" s="8" t="inlineStr">
        <is>
          <t>Rp8–17rb</t>
        </is>
      </c>
      <c r="C8" s="8" t="inlineStr">
        <is>
          <t>Murah-banyak, hard selling</t>
        </is>
      </c>
      <c r="D8" s="8" t="inlineStr">
        <is>
          <t>Volume &amp; live nonstop, menguasai search 'celana dalam pria'</t>
        </is>
      </c>
      <c r="E8" s="8" t="inlineStr">
        <is>
          <t>BUKAN kompetitor harga, tapi kompetitor PERSEPSI — mereka mendefinisikan '100 ribu = dapat banyak'</t>
        </is>
      </c>
      <c r="F8" s="8" t="inlineStr">
        <is>
          <t>Sangat aktif (video + live)</t>
        </is>
      </c>
    </row>
    <row r="10">
      <c r="A10" s="16" t="inlineStr">
        <is>
          <t>Insight utama: tidak ada pemain 100rb/pcs yang serius di konten TikTok Indonesia — white space untuk Toni Black. Musuh utamanya persepsi harga, bukan brand lain.</t>
        </is>
      </c>
    </row>
    <row r="11">
      <c r="A11" s="17" t="inlineStr">
        <is>
          <t>Sumber: rider.co.id, biggo.id, zalora.co.id, blibli.com, tokopedia.com, pengamatan TikTok Juli 2026. Data Kalodata perlu akun login — pantau kategori Men's Underwear region ID bulanan.</t>
        </is>
      </c>
    </row>
  </sheetData>
  <mergeCells count="2">
    <mergeCell ref="A11:F11"/>
    <mergeCell ref="A10:F10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40" customWidth="1" min="2" max="2"/>
    <col width="24" customWidth="1" min="3" max="3"/>
    <col width="14" customWidth="1" min="4" max="4"/>
    <col width="22" customWidth="1" min="5" max="5"/>
    <col width="14" customWidth="1" min="6" max="6"/>
    <col width="14" customWidth="1" min="7" max="7"/>
    <col width="14" customWidth="1" min="8" max="8"/>
    <col width="30" customWidth="1" min="9" max="9"/>
  </cols>
  <sheetData>
    <row r="1">
      <c r="A1" s="6" t="inlineStr">
        <is>
          <t>#</t>
        </is>
      </c>
      <c r="B1" s="6" t="inlineStr">
        <is>
          <t>Produk (ringkas)</t>
        </is>
      </c>
      <c r="C1" s="6" t="inlineStr">
        <is>
          <t>Toko / Brand</t>
        </is>
      </c>
      <c r="D1" s="6" t="inlineStr">
        <is>
          <t>Harga 'Paket'</t>
        </is>
      </c>
      <c r="E1" s="6" t="inlineStr">
        <is>
          <t>Isi Paket</t>
        </is>
      </c>
      <c r="F1" s="6" t="inlineStr">
        <is>
          <t>Est. Harga/pcs</t>
        </is>
      </c>
      <c r="G1" s="6" t="inlineStr">
        <is>
          <t>Terjual (30 hr)</t>
        </is>
      </c>
      <c r="H1" s="6" t="inlineStr">
        <is>
          <t>Revenue (30 hr)</t>
        </is>
      </c>
      <c r="I1" s="6" t="inlineStr">
        <is>
          <t>Positioning</t>
        </is>
      </c>
    </row>
    <row r="2">
      <c r="A2" s="10" t="n">
        <v>1</v>
      </c>
      <c r="B2" s="8" t="inlineStr">
        <is>
          <t>Boxer olahraga anti-wear, cepat kering</t>
        </is>
      </c>
      <c r="C2" s="15" t="inlineStr">
        <is>
          <t>uncolive.underwear</t>
        </is>
      </c>
      <c r="D2" s="8" t="inlineStr">
        <is>
          <t>Rp102.447</t>
        </is>
      </c>
      <c r="E2" s="8" t="inlineStr">
        <is>
          <t>6 pcs (beli 4 gratis 2)</t>
        </is>
      </c>
      <c r="F2" s="8" t="inlineStr">
        <is>
          <t>± Rp17rb</t>
        </is>
      </c>
      <c r="G2" s="39" t="n">
        <v>14450</v>
      </c>
      <c r="H2" s="8" t="inlineStr">
        <is>
          <t>Rp1,48 M</t>
        </is>
      </c>
      <c r="I2" s="8" t="inlineStr">
        <is>
          <t>Sports, quick-dry, bundle</t>
        </is>
      </c>
    </row>
    <row r="3">
      <c r="A3" s="10" t="n">
        <v>2</v>
      </c>
      <c r="B3" s="8" t="inlineStr">
        <is>
          <t>Sports underwear 'French' marathon</t>
        </is>
      </c>
      <c r="C3" s="15" t="inlineStr">
        <is>
          <t>uomolive</t>
        </is>
      </c>
      <c r="D3" s="8" t="inlineStr">
        <is>
          <t>Rp91.387</t>
        </is>
      </c>
      <c r="E3" s="8" t="inlineStr">
        <is>
          <t>6 pcs (beli 4 gratis 2)</t>
        </is>
      </c>
      <c r="F3" s="8" t="inlineStr">
        <is>
          <t>± Rp15rb</t>
        </is>
      </c>
      <c r="G3" s="39" t="n">
        <v>10498</v>
      </c>
      <c r="H3" s="8" t="inlineStr">
        <is>
          <t>Rp959 jt</t>
        </is>
      </c>
      <c r="I3" s="8" t="inlineStr">
        <is>
          <t>Sports, seamless, bundle</t>
        </is>
      </c>
    </row>
    <row r="4">
      <c r="A4" s="10" t="n">
        <v>3</v>
      </c>
      <c r="B4" s="8" t="inlineStr">
        <is>
          <t>S9002 sports underwear anti-wear</t>
        </is>
      </c>
      <c r="C4" s="15" t="inlineStr">
        <is>
          <t>uomolive</t>
        </is>
      </c>
      <c r="D4" s="8" t="inlineStr">
        <is>
          <t>Rp118.743</t>
        </is>
      </c>
      <c r="E4" s="8" t="inlineStr">
        <is>
          <t>6 pcs (beli 4 gratis 2)</t>
        </is>
      </c>
      <c r="F4" s="8" t="inlineStr">
        <is>
          <t>± Rp20rb</t>
        </is>
      </c>
      <c r="G4" s="39" t="n">
        <v>6201</v>
      </c>
      <c r="H4" s="8" t="inlineStr">
        <is>
          <t>Rp736 jt</t>
        </is>
      </c>
      <c r="I4" s="8" t="inlineStr">
        <is>
          <t>Sports, quick-dry, bundle</t>
        </is>
      </c>
    </row>
    <row r="5">
      <c r="A5" s="10" t="n">
        <v>4</v>
      </c>
      <c r="B5" s="8" t="inlineStr">
        <is>
          <t>Ryusei Boxer Haruki</t>
        </is>
      </c>
      <c r="C5" s="15" t="inlineStr">
        <is>
          <t>Ryusei</t>
        </is>
      </c>
      <c r="D5" s="8" t="inlineStr">
        <is>
          <t>Rp95.036</t>
        </is>
      </c>
      <c r="E5" s="8" t="inlineStr">
        <is>
          <t>3 pcs</t>
        </is>
      </c>
      <c r="F5" s="8" t="inlineStr">
        <is>
          <t>± Rp32rb</t>
        </is>
      </c>
      <c r="G5" s="39" t="n">
        <v>5682</v>
      </c>
      <c r="H5" s="8" t="inlineStr">
        <is>
          <t>Rp540 jt</t>
        </is>
      </c>
      <c r="I5" s="8" t="inlineStr">
        <is>
          <t>Nyaman &amp; elastis, brand lokal</t>
        </is>
      </c>
    </row>
    <row r="6">
      <c r="A6" s="10" t="n">
        <v>5</v>
      </c>
      <c r="B6" s="8" t="inlineStr">
        <is>
          <t>Boxer Premium Anti Bakteri</t>
        </is>
      </c>
      <c r="C6" s="15" t="inlineStr">
        <is>
          <t>Vallero Store</t>
        </is>
      </c>
      <c r="D6" s="8" t="inlineStr">
        <is>
          <t>Rp101.661</t>
        </is>
      </c>
      <c r="E6" s="8" t="inlineStr">
        <is>
          <t>6 pcs</t>
        </is>
      </c>
      <c r="F6" s="8" t="inlineStr">
        <is>
          <t>± Rp17rb</t>
        </is>
      </c>
      <c r="G6" s="39" t="n">
        <v>5029</v>
      </c>
      <c r="H6" s="8" t="inlineStr">
        <is>
          <t>Rp511 jt</t>
        </is>
      </c>
      <c r="I6" s="8" t="inlineStr">
        <is>
          <t>Antibakteri, bundle</t>
        </is>
      </c>
    </row>
    <row r="7">
      <c r="A7" s="10" t="n">
        <v>6</v>
      </c>
      <c r="B7" s="8" t="inlineStr">
        <is>
          <t>Boxer Ice Silk antibakteri</t>
        </is>
      </c>
      <c r="C7" s="15" t="inlineStr">
        <is>
          <t>Michiyo</t>
        </is>
      </c>
      <c r="D7" s="8" t="inlineStr">
        <is>
          <t>Rp93.883</t>
        </is>
      </c>
      <c r="E7" s="8" t="inlineStr">
        <is>
          <t>6 pcs</t>
        </is>
      </c>
      <c r="F7" s="8" t="inlineStr">
        <is>
          <t>± Rp16rb</t>
        </is>
      </c>
      <c r="G7" s="39" t="n">
        <v>4331</v>
      </c>
      <c r="H7" s="8" t="inlineStr">
        <is>
          <t>Rp407 jt</t>
        </is>
      </c>
      <c r="I7" s="8" t="inlineStr">
        <is>
          <t>Ice silk, seamless, bundle</t>
        </is>
      </c>
    </row>
    <row r="8">
      <c r="A8" s="10" t="n">
        <v>7</v>
      </c>
      <c r="B8" s="8" t="inlineStr">
        <is>
          <t>VAUDREÉ paket hemat Ice Silk</t>
        </is>
      </c>
      <c r="C8" s="15" t="inlineStr">
        <is>
          <t>VAUDREE</t>
        </is>
      </c>
      <c r="D8" s="8" t="inlineStr">
        <is>
          <t>Rp82.415</t>
        </is>
      </c>
      <c r="E8" s="8" t="inlineStr">
        <is>
          <t>4 pcs</t>
        </is>
      </c>
      <c r="F8" s="8" t="inlineStr">
        <is>
          <t>± Rp21rb</t>
        </is>
      </c>
      <c r="G8" s="39" t="n">
        <v>4266</v>
      </c>
      <c r="H8" s="8" t="inlineStr">
        <is>
          <t>Rp352 jt</t>
        </is>
      </c>
      <c r="I8" s="8" t="inlineStr">
        <is>
          <t>Ice silk premium, bundle</t>
        </is>
      </c>
    </row>
    <row r="9">
      <c r="A9" s="10" t="n">
        <v>8</v>
      </c>
      <c r="B9" s="8" t="inlineStr">
        <is>
          <t>JFYOU katun premium (buy 1 get 3)</t>
        </is>
      </c>
      <c r="C9" s="15" t="inlineStr">
        <is>
          <t>SUANKA STORE</t>
        </is>
      </c>
      <c r="D9" s="8" t="inlineStr">
        <is>
          <t>Rp88.319</t>
        </is>
      </c>
      <c r="E9" s="8" t="inlineStr">
        <is>
          <t>4 pcs</t>
        </is>
      </c>
      <c r="F9" s="8" t="inlineStr">
        <is>
          <t>± Rp22rb</t>
        </is>
      </c>
      <c r="G9" s="39" t="n">
        <v>3188</v>
      </c>
      <c r="H9" s="8" t="inlineStr">
        <is>
          <t>Rp282 jt</t>
        </is>
      </c>
      <c r="I9" s="8" t="inlineStr">
        <is>
          <t>Katun premium, viral, COD</t>
        </is>
      </c>
    </row>
    <row r="10">
      <c r="A10" s="10" t="n">
        <v>9</v>
      </c>
      <c r="B10" s="8" t="inlineStr">
        <is>
          <t>Crossbell x Moow Ice Silk 7A</t>
        </is>
      </c>
      <c r="C10" s="15" t="inlineStr">
        <is>
          <t>Crossbell Store</t>
        </is>
      </c>
      <c r="D10" s="8" t="inlineStr">
        <is>
          <t>Rp123.291</t>
        </is>
      </c>
      <c r="E10" s="8" t="inlineStr">
        <is>
          <t>4 pcs</t>
        </is>
      </c>
      <c r="F10" s="8" t="inlineStr">
        <is>
          <t>± Rp31rb</t>
        </is>
      </c>
      <c r="G10" s="39" t="n">
        <v>1886</v>
      </c>
      <c r="H10" s="8" t="inlineStr">
        <is>
          <t>Rp233 jt</t>
        </is>
      </c>
      <c r="I10" s="8" t="inlineStr">
        <is>
          <t>Ice silk premium, bundle</t>
        </is>
      </c>
    </row>
    <row r="11">
      <c r="A11" s="10" t="n">
        <v>10</v>
      </c>
      <c r="B11" s="8" t="inlineStr">
        <is>
          <t>Combo boxer poly polos</t>
        </is>
      </c>
      <c r="C11" s="15" t="inlineStr">
        <is>
          <t>LEADER.CO</t>
        </is>
      </c>
      <c r="D11" s="8" t="inlineStr">
        <is>
          <t>Rp90.958</t>
        </is>
      </c>
      <c r="E11" s="8" t="inlineStr">
        <is>
          <t>6 pcs</t>
        </is>
      </c>
      <c r="F11" s="8" t="inlineStr">
        <is>
          <t>± Rp15rb</t>
        </is>
      </c>
      <c r="G11" s="39" t="n">
        <v>2088</v>
      </c>
      <c r="H11" s="8" t="inlineStr">
        <is>
          <t>Rp190 jt</t>
        </is>
      </c>
      <c r="I11" s="8" t="inlineStr">
        <is>
          <t>Basic polos, uniseks, bundle</t>
        </is>
      </c>
    </row>
    <row r="12">
      <c r="A12" s="10" t="n">
        <v>11</v>
      </c>
      <c r="B12" s="8" t="inlineStr">
        <is>
          <t>VIMISU Boxer seamless antibakteri</t>
        </is>
      </c>
      <c r="C12" s="15" t="inlineStr">
        <is>
          <t>VIMISU 1</t>
        </is>
      </c>
      <c r="D12" s="8" t="inlineStr">
        <is>
          <t>Rp86.555</t>
        </is>
      </c>
      <c r="E12" s="8" t="inlineStr">
        <is>
          <t>varian (L-5XL)</t>
        </is>
      </c>
      <c r="F12" s="8" t="inlineStr">
        <is>
          <t>—</t>
        </is>
      </c>
      <c r="G12" s="39" t="n">
        <v>1992</v>
      </c>
      <c r="H12" s="8" t="inlineStr">
        <is>
          <t>Rp172 jt</t>
        </is>
      </c>
      <c r="I12" s="8" t="inlineStr">
        <is>
          <t>Seamless, antibakteri, motif</t>
        </is>
      </c>
    </row>
    <row r="13">
      <c r="A13" s="10" t="n">
        <v>12</v>
      </c>
      <c r="B13" s="8" t="inlineStr">
        <is>
          <t>HEPNIES boxer teknologi magnet</t>
        </is>
      </c>
      <c r="C13" s="15" t="inlineStr">
        <is>
          <t>HEPNIES MEN'S UNDERWEAR</t>
        </is>
      </c>
      <c r="D13" s="8" t="inlineStr">
        <is>
          <t>Rp97.527</t>
        </is>
      </c>
      <c r="E13" s="8" t="inlineStr">
        <is>
          <t>3 pcs</t>
        </is>
      </c>
      <c r="F13" s="8" t="inlineStr">
        <is>
          <t>± Rp33rb</t>
        </is>
      </c>
      <c r="G13" s="39" t="n">
        <v>1728</v>
      </c>
      <c r="H13" s="8" t="inlineStr">
        <is>
          <t>Rp169 jt</t>
        </is>
      </c>
      <c r="I13" s="8" t="inlineStr">
        <is>
          <t>Gimmick teknologi, ringan</t>
        </is>
      </c>
    </row>
    <row r="14">
      <c r="A14" s="10" t="n">
        <v>13</v>
      </c>
      <c r="B14" s="8" t="inlineStr">
        <is>
          <t>9003 celana lari Prancis anti-wear</t>
        </is>
      </c>
      <c r="C14" s="15" t="inlineStr">
        <is>
          <t>uomolive</t>
        </is>
      </c>
      <c r="D14" s="8" t="inlineStr">
        <is>
          <t>Rp121.687</t>
        </is>
      </c>
      <c r="E14" s="8" t="inlineStr">
        <is>
          <t>6 pcs (beli 4 gratis 2)</t>
        </is>
      </c>
      <c r="F14" s="8" t="inlineStr">
        <is>
          <t>± Rp20rb</t>
        </is>
      </c>
      <c r="G14" s="39" t="n">
        <v>1106</v>
      </c>
      <c r="H14" s="8" t="inlineStr">
        <is>
          <t>Rp135 jt</t>
        </is>
      </c>
      <c r="I14" s="8" t="inlineStr">
        <is>
          <t>Sports, quick-dry, bundle</t>
        </is>
      </c>
    </row>
    <row r="15">
      <c r="A15" s="10" t="n">
        <v>14</v>
      </c>
      <c r="B15" s="8" t="inlineStr">
        <is>
          <t>Boxer Ice Silk paket hemat</t>
        </is>
      </c>
      <c r="C15" s="15" t="inlineStr">
        <is>
          <t>Starwing</t>
        </is>
      </c>
      <c r="D15" s="8" t="inlineStr">
        <is>
          <t>Rp117.712</t>
        </is>
      </c>
      <c r="E15" s="8" t="inlineStr">
        <is>
          <t>6 pcs</t>
        </is>
      </c>
      <c r="F15" s="8" t="inlineStr">
        <is>
          <t>± Rp20rb</t>
        </is>
      </c>
      <c r="G15" s="39" t="n">
        <v>1083</v>
      </c>
      <c r="H15" s="8" t="inlineStr">
        <is>
          <t>Rp127 jt</t>
        </is>
      </c>
      <c r="I15" s="8" t="inlineStr">
        <is>
          <t>Ice silk, antibakteri, bundle</t>
        </is>
      </c>
    </row>
    <row r="16">
      <c r="A16" s="10" t="n">
        <v>15</v>
      </c>
      <c r="B16" s="8" t="inlineStr">
        <is>
          <t>VAUDREÉ paket hemat Ice Silk</t>
        </is>
      </c>
      <c r="C16" s="15" t="inlineStr">
        <is>
          <t>VAUDREE</t>
        </is>
      </c>
      <c r="D16" s="8" t="inlineStr">
        <is>
          <t>Rp109.370</t>
        </is>
      </c>
      <c r="E16" s="8" t="inlineStr">
        <is>
          <t>6 pcs (L-6XL)</t>
        </is>
      </c>
      <c r="F16" s="8" t="inlineStr">
        <is>
          <t>± Rp18rb</t>
        </is>
      </c>
      <c r="G16" s="39" t="n">
        <v>1117</v>
      </c>
      <c r="H16" s="8" t="inlineStr">
        <is>
          <t>Rp122 jt</t>
        </is>
      </c>
      <c r="I16" s="8" t="inlineStr">
        <is>
          <t>Ice silk premium, bundle</t>
        </is>
      </c>
    </row>
    <row r="18">
      <c r="A18" s="16" t="inlineStr">
        <is>
          <t>INSIGHT: Semua produk teratas di tier Rp80–150rb adalah BUNDLE 3–6 pcs → harga efektif hanya ± Rp15–33rb/pcs. Tidak ada satu pun produk 1 pcs premium seharga Rp100rb di ranking. Toni Black (Rp100rb/1 pcs premium) praktis tanpa kompetitor langsung — tantangannya edukasi persepsi harga, bukan mengalahkan brand.</t>
        </is>
      </c>
    </row>
    <row r="19">
      <c r="A19" s="38" t="inlineStr">
        <is>
          <t>Sumber: Kalodata (KaloPilot), kategori Men's Underwear ID 841352, region ID, 30 hari terakhir, ditarik 20 Juli 2026. 'Est. harga/pcs' = harga paket dibagi jumlah isi (perkiraan).</t>
        </is>
      </c>
    </row>
  </sheetData>
  <mergeCells count="2">
    <mergeCell ref="A18:I18"/>
    <mergeCell ref="A19:I19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40" customWidth="1" min="2" max="2"/>
    <col width="14" customWidth="1" min="3" max="3"/>
    <col width="20" customWidth="1" min="4" max="4"/>
    <col width="40" customWidth="1" min="5" max="5"/>
  </cols>
  <sheetData>
    <row r="1">
      <c r="A1" s="40" t="inlineStr">
        <is>
          <t>TOP CREATOR / AFFILIATE (revenue tertinggi, 30 hari)</t>
        </is>
      </c>
    </row>
    <row r="2">
      <c r="A2" s="41" t="inlineStr">
        <is>
          <t>#</t>
        </is>
      </c>
      <c r="B2" s="41" t="inlineStr">
        <is>
          <t>Creator (handle)</t>
        </is>
      </c>
      <c r="C2" s="41" t="inlineStr">
        <is>
          <t>Follower</t>
        </is>
      </c>
      <c r="D2" s="41" t="inlineStr">
        <is>
          <t>Revenue (30 hr)</t>
        </is>
      </c>
      <c r="E2" s="41" t="inlineStr">
        <is>
          <t>Model &amp; Catatan</t>
        </is>
      </c>
    </row>
    <row r="3">
      <c r="A3" s="10" t="n">
        <v>1</v>
      </c>
      <c r="B3" s="15" t="inlineStr">
        <is>
          <t>JURAGAN SEMPAK (@user835006894)</t>
        </is>
      </c>
      <c r="C3" s="39" t="n">
        <v>3402</v>
      </c>
      <c r="D3" s="8" t="inlineStr">
        <is>
          <t>Rp452 jt</t>
        </is>
      </c>
      <c r="E3" s="8" t="inlineStr">
        <is>
          <t>100% video. Micro-follower tapi revenue #1 → targeting tajam.</t>
        </is>
      </c>
    </row>
    <row r="4">
      <c r="A4" s="10" t="n">
        <v>2</v>
      </c>
      <c r="B4" s="15" t="inlineStr">
        <is>
          <t>Ryan Outfitness (@ryan.outfitness)</t>
        </is>
      </c>
      <c r="C4" s="39" t="n">
        <v>9574</v>
      </c>
      <c r="D4" s="8" t="inlineStr">
        <is>
          <t>Rp439 jt</t>
        </is>
      </c>
      <c r="E4" s="8" t="inlineStr">
        <is>
          <t>Hybrid: 98% revenue dari LIVE, video jadi funnel.</t>
        </is>
      </c>
    </row>
    <row r="5">
      <c r="A5" s="10" t="n">
        <v>3</v>
      </c>
      <c r="B5" s="15" t="inlineStr">
        <is>
          <t>Ko.ony (@ko.ony96)</t>
        </is>
      </c>
      <c r="C5" s="39" t="n">
        <v>65700</v>
      </c>
      <c r="D5" s="8" t="inlineStr">
        <is>
          <t>Rp411 jt</t>
        </is>
      </c>
      <c r="E5" s="8" t="inlineStr">
        <is>
          <t>Fokus video, follower besar.</t>
        </is>
      </c>
    </row>
    <row r="6">
      <c r="A6" s="10" t="n">
        <v>4</v>
      </c>
      <c r="B6" s="15" t="inlineStr">
        <is>
          <t>JRshop88 (@jrshop_08)</t>
        </is>
      </c>
      <c r="C6" s="39" t="n">
        <v>17200</v>
      </c>
      <c r="D6" s="8" t="inlineStr">
        <is>
          <t>Rp361 jt</t>
        </is>
      </c>
      <c r="E6" s="8" t="inlineStr">
        <is>
          <t>Hybrid (mayoritas live).</t>
        </is>
      </c>
    </row>
    <row r="7">
      <c r="A7" s="10" t="n">
        <v>5</v>
      </c>
      <c r="B7" s="15" t="inlineStr">
        <is>
          <t>CK Underwear Store (@ck_underwear_store)</t>
        </is>
      </c>
      <c r="C7" s="39" t="n">
        <v>5153</v>
      </c>
      <c r="D7" s="8" t="inlineStr">
        <is>
          <t>Rp339 jt</t>
        </is>
      </c>
      <c r="E7" s="8" t="inlineStr">
        <is>
          <t>100% LIVE, AOV ~Rp356rb/item (tertinggi!) → segmen mau bayar mahal saat di-edukasi live.</t>
        </is>
      </c>
    </row>
    <row r="8">
      <c r="A8" s="10" t="n">
        <v>6</v>
      </c>
      <c r="B8" s="15" t="inlineStr">
        <is>
          <t>rumahcivi (@rumahcivi)</t>
        </is>
      </c>
      <c r="C8" s="39" t="n">
        <v>92200</v>
      </c>
      <c r="D8" s="8" t="inlineStr">
        <is>
          <t>Rp329 jt</t>
        </is>
      </c>
      <c r="E8" s="8" t="inlineStr">
        <is>
          <t>Video, follower besar.</t>
        </is>
      </c>
    </row>
    <row r="9">
      <c r="A9" s="10" t="n">
        <v>7</v>
      </c>
      <c r="B9" s="15" t="inlineStr">
        <is>
          <t>Promo harian (@promoharian12)</t>
        </is>
      </c>
      <c r="C9" s="39" t="n">
        <v>1482</v>
      </c>
      <c r="D9" s="8" t="inlineStr">
        <is>
          <t>Rp322 jt</t>
        </is>
      </c>
      <c r="E9" s="8" t="inlineStr">
        <is>
          <t>Video AI, follower terkecil, volume tertinggi (5.715 sales).</t>
        </is>
      </c>
    </row>
    <row r="10">
      <c r="A10" s="10" t="n">
        <v>8</v>
      </c>
      <c r="B10" s="15" t="inlineStr">
        <is>
          <t>BANG RAB (@bang.rab22)</t>
        </is>
      </c>
      <c r="C10" s="39" t="n">
        <v>48400</v>
      </c>
      <c r="D10" s="8" t="inlineStr">
        <is>
          <t>Rp312 jt</t>
        </is>
      </c>
      <c r="E10" s="8" t="inlineStr">
        <is>
          <t>Video, volume sales tertinggi (13.267).</t>
        </is>
      </c>
    </row>
    <row r="11">
      <c r="A11" s="10" t="n">
        <v>9</v>
      </c>
      <c r="B11" s="15" t="inlineStr">
        <is>
          <t>Spesialis Underwear (@spill_underwear)</t>
        </is>
      </c>
      <c r="C11" s="39" t="n">
        <v>2683</v>
      </c>
      <c r="D11" s="8" t="inlineStr">
        <is>
          <t>Rp310 jt</t>
        </is>
      </c>
      <c r="E11" s="8" t="inlineStr">
        <is>
          <t>Hybrid (mayoritas live), micro-follower.</t>
        </is>
      </c>
    </row>
    <row r="12">
      <c r="A12" s="10" t="n">
        <v>10</v>
      </c>
      <c r="B12" s="15" t="inlineStr">
        <is>
          <t>sulastridua2 (@sulastridua2)</t>
        </is>
      </c>
      <c r="C12" s="39" t="n">
        <v>44000</v>
      </c>
      <c r="D12" s="8" t="inlineStr">
        <is>
          <t>Rp306 jt</t>
        </is>
      </c>
      <c r="E12" s="8" t="inlineStr">
        <is>
          <t>Hybrid, GROWTH +283% → bintang naik.</t>
        </is>
      </c>
    </row>
    <row r="14">
      <c r="A14" s="40" t="inlineStr">
        <is>
          <t>FORMAT VIDEO YANG MENANG (analisis 50 video teratas)</t>
        </is>
      </c>
    </row>
    <row r="15">
      <c r="A15" s="41" t="inlineStr">
        <is>
          <t>Format</t>
        </is>
      </c>
      <c r="B15" s="41" t="inlineStr">
        <is>
          <t>Durasi</t>
        </is>
      </c>
      <c r="C15" s="41" t="inlineStr">
        <is>
          <t>GPM (per 1000 views)</t>
        </is>
      </c>
      <c r="D15" s="41" t="inlineStr">
        <is>
          <t>Ciri Khas</t>
        </is>
      </c>
      <c r="E15" s="41" t="n"/>
    </row>
    <row r="16">
      <c r="A16" s="15" t="inlineStr">
        <is>
          <t>Short-form promo</t>
        </is>
      </c>
      <c r="B16" s="8" t="inlineStr">
        <is>
          <t>5–20 detik</t>
        </is>
      </c>
      <c r="C16" s="8" t="inlineStr">
        <is>
          <t>Rp33rb–763rb</t>
        </is>
      </c>
      <c r="D16" s="8" t="inlineStr">
        <is>
          <t>Produk langsung di 3 detik pertama, hashtag agresif (#cdpria #boxerpria #fyp), fokus visual + promo, no intro.</t>
        </is>
      </c>
      <c r="E16" s="8" t="n"/>
    </row>
    <row r="17">
      <c r="A17" s="15" t="inlineStr">
        <is>
          <t>Demo + bundle detail</t>
        </is>
      </c>
      <c r="B17" s="8" t="inlineStr">
        <is>
          <t>60–80 detik</t>
        </is>
      </c>
      <c r="C17" s="8" t="inlineStr">
        <is>
          <t>s/d Rp86rb (tertinggi konsisten)</t>
        </is>
      </c>
      <c r="D17" s="8" t="inlineStr">
        <is>
          <t>Tunjuk bahan (katun/ice silk/seamless), close-up/slow-mo tekstur, angle berbagai sisi, bundle promo.</t>
        </is>
      </c>
      <c r="E17" s="8" t="n"/>
    </row>
    <row r="18">
      <c r="A18" s="15" t="inlineStr">
        <is>
          <t>Testimoni + unboxing</t>
        </is>
      </c>
      <c r="B18" s="8" t="inlineStr">
        <is>
          <t>15–30 detik</t>
        </is>
      </c>
      <c r="C18" s="8" t="inlineStr">
        <is>
          <t>Rp60rb–80rb</t>
        </is>
      </c>
      <c r="D18" s="8" t="inlineStr">
        <is>
          <t>Unboxing excited, review singkat (lembut/adem/nyaman), size chart &amp; pilihan warna, CTA keranjang kuning.</t>
        </is>
      </c>
      <c r="E18" s="8" t="n"/>
    </row>
    <row r="19">
      <c r="A19" s="15" t="inlineStr">
        <is>
          <t>Ultra-short AI video</t>
        </is>
      </c>
      <c r="B19" s="8" t="inlineStr">
        <is>
          <t>5–10 detik</t>
        </is>
      </c>
      <c r="C19" s="8" t="inlineStr">
        <is>
          <t>s/d Rp763rb (INSANE)</t>
        </is>
      </c>
      <c r="D19" s="8" t="inlineStr">
        <is>
          <t>AI-generated, hampir 100% dari paid ads, pure product showcase tanpa narasi, biaya produksi rendah.</t>
        </is>
      </c>
      <c r="E19" s="8" t="n"/>
    </row>
    <row r="21">
      <c r="A21" s="16" t="inlineStr">
        <is>
          <t>IMPLIKASI UNTUK TONI BLACK:</t>
        </is>
      </c>
    </row>
    <row r="22">
      <c r="A22" s="4" t="inlineStr">
        <is>
          <t>1. 98% video top-revenue = PAID ADS. Skala butuh budget iklan (Spark Ads), tapi menang di kualitas kreatif &amp; brand — bukan perang harga (kompetitor bundle sedang jenuh, growth -5% s/d -50%).</t>
        </is>
      </c>
    </row>
    <row r="23">
      <c r="A23" s="4" t="inlineStr">
        <is>
          <t>2. Micro-influencer 1.500–5.000 follower menghasilkan Rp300–450 jt. Bangun program AFFILIATE/seeding ke micro-creator niche (grooming pria, couple/istri) + sediakan sample, script, komisi.</t>
        </is>
      </c>
    </row>
    <row r="24">
      <c r="A24" s="4" t="inlineStr">
        <is>
          <t>3. LIVE SHOPPING wajib — ~50% revenue kategori dari live; CK Underwear 100% live dengan AOV Rp356rb membuktikan segmen mau bayar premium saat di-edukasi live.</t>
        </is>
      </c>
    </row>
    <row r="25">
      <c r="A25" s="4" t="inlineStr">
        <is>
          <t>4. Pillar 2 (Tes &amp; Demo) Toni Black = format demo 60–80 detik yang terbukti GPM tinggi. Perkuat itu sebagai materi Spark Ads.</t>
        </is>
      </c>
    </row>
    <row r="27">
      <c r="A27" s="38" t="inlineStr">
        <is>
          <t>Sumber: Kalodata (KaloPilot), kategori Men's Underwear ID 841352, region ID, 30 hari terakhir, ditarik 20 Juli 2026.</t>
        </is>
      </c>
    </row>
  </sheetData>
  <mergeCells count="13">
    <mergeCell ref="A21:E21"/>
    <mergeCell ref="D18:E18"/>
    <mergeCell ref="D16:E16"/>
    <mergeCell ref="A24:E24"/>
    <mergeCell ref="D15:E15"/>
    <mergeCell ref="D19:E19"/>
    <mergeCell ref="A25:E25"/>
    <mergeCell ref="A1:E1"/>
    <mergeCell ref="A23:E23"/>
    <mergeCell ref="A14:E14"/>
    <mergeCell ref="D17:E17"/>
    <mergeCell ref="A22:E22"/>
    <mergeCell ref="A27:E27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48" customWidth="1" min="2" max="2"/>
    <col width="64" customWidth="1" min="3" max="3"/>
  </cols>
  <sheetData>
    <row r="1">
      <c r="A1" s="6" t="inlineStr">
        <is>
          <t>Tipe Hook</t>
        </is>
      </c>
      <c r="B1" s="6" t="inlineStr">
        <is>
          <t>Formula</t>
        </is>
      </c>
      <c r="C1" s="6" t="inlineStr">
        <is>
          <t>Contoh Siap Pakai (Toni Black)</t>
        </is>
      </c>
    </row>
    <row r="2">
      <c r="A2" s="15" t="inlineStr">
        <is>
          <t>Curiosity</t>
        </is>
      </c>
      <c r="B2" s="8" t="inlineStr">
        <is>
          <t>"Alasan sebenarnya [masalah] bukan yang kamu kira."</t>
        </is>
      </c>
      <c r="C2" s="8" t="inlineStr">
        <is>
          <t>"Area intim gampang gatal? Bukan karena jorok. Ini penyebab sebenarnya."</t>
        </is>
      </c>
    </row>
    <row r="3">
      <c r="A3" s="15" t="inlineStr">
        <is>
          <t>Curiosity</t>
        </is>
      </c>
      <c r="B3" s="8" t="inlineStr">
        <is>
          <t>"[Hal mengejutkan] — dan hampir semua pria melakukannya."</t>
        </is>
      </c>
      <c r="C3" s="8" t="inlineStr">
        <is>
          <t>"90% pria Indonesia pakai celana dalam yang harusnya sudah dibuang."</t>
        </is>
      </c>
    </row>
    <row r="4">
      <c r="A4" s="15" t="inlineStr">
        <is>
          <t>Kontrarian</t>
        </is>
      </c>
      <c r="B4" s="8" t="inlineStr">
        <is>
          <t>"Unpopular opinion: [pernyataan berani]"</t>
        </is>
      </c>
      <c r="C4" s="8" t="inlineStr">
        <is>
          <t>"Unpopular opinion: CD 10 ribuan itu justru mahal. Kita hitung."</t>
        </is>
      </c>
    </row>
    <row r="5">
      <c r="A5" s="15" t="inlineStr">
        <is>
          <t>Kontrarian</t>
        </is>
      </c>
      <c r="B5" s="8" t="inlineStr">
        <is>
          <t>"Semua orang bilang [X]. Ini jawaban kami."</t>
        </is>
      </c>
      <c r="C5" s="8" t="inlineStr">
        <is>
          <t>"Semua orang bilang kami gila jual celana dalam 100 ribu. Ini jawaban kami."</t>
        </is>
      </c>
    </row>
    <row r="6">
      <c r="A6" s="15" t="inlineStr">
        <is>
          <t>Value/Listicle</t>
        </is>
      </c>
      <c r="B6" s="8" t="inlineStr">
        <is>
          <t>"[Angka] tanda/kesalahan/cara [outcome]"</t>
        </is>
      </c>
      <c r="C6" s="8" t="inlineStr">
        <is>
          <t>"5 tanda celana dalam kamu harus dibuang. Sekarang."</t>
        </is>
      </c>
    </row>
    <row r="7">
      <c r="A7" s="15" t="inlineStr">
        <is>
          <t>Demo/Challenge</t>
        </is>
      </c>
      <c r="B7" s="8" t="inlineStr">
        <is>
          <t>"[Produk A] vs [Produk B]. Kita tes sampai salah satu nyerah."</t>
        </is>
      </c>
      <c r="C7" s="8" t="inlineStr">
        <is>
          <t>"CD 100 ribu vs 10 ribu. Kita tarik sampai salah satu nyerah."</t>
        </is>
      </c>
    </row>
    <row r="8">
      <c r="A8" s="15" t="inlineStr">
        <is>
          <t>Demo/Sensory</t>
        </is>
      </c>
      <c r="B8" s="8" t="inlineStr">
        <is>
          <t>"Lihat apa yang terjadi kalau [aksi]."</t>
        </is>
      </c>
      <c r="C8" s="8" t="inlineStr">
        <is>
          <t>"Tuang air ke dua kain ini. Lihat mana yang 'minum' duluan."</t>
        </is>
      </c>
    </row>
    <row r="9">
      <c r="A9" s="15" t="inlineStr">
        <is>
          <t>Story/POV</t>
        </is>
      </c>
      <c r="B9" s="8" t="inlineStr">
        <is>
          <t>"Hal paling mahal yang dia pakai hari ini... [twist]."</t>
        </is>
      </c>
      <c r="C9" s="8" t="inlineStr">
        <is>
          <t>"Hal paling mahal yang dia pakai hari ini... nggak keliatan."</t>
        </is>
      </c>
    </row>
    <row r="10">
      <c r="A10" s="15" t="inlineStr">
        <is>
          <t>Gift angle (audiens perempuan)</t>
        </is>
      </c>
      <c r="B10" s="8" t="inlineStr">
        <is>
          <t>"Aku beliin [orang] [produk]. Reaksinya [twist]."</t>
        </is>
      </c>
      <c r="C10" s="8" t="inlineStr">
        <is>
          <t>"Aku beliin suamiku celana dalam 100 ribu. Reaksinya di luar dugaan."</t>
        </is>
      </c>
    </row>
    <row r="11">
      <c r="A11" s="15" t="inlineStr">
        <is>
          <t>Reply-to-comment</t>
        </is>
      </c>
      <c r="B11" s="8" t="inlineStr">
        <is>
          <t>Screenshot komentar nyinyir + "Oke, kita bahas."</t>
        </is>
      </c>
      <c r="C11" s="8" t="inlineStr">
        <is>
          <t>Komentar 'mending 10 pcs 100rb' → "Oke, kita hitung bareng-bareng."</t>
        </is>
      </c>
    </row>
    <row r="12">
      <c r="A12" s="15" t="inlineStr">
        <is>
          <t>Momen (gajian)</t>
        </is>
      </c>
      <c r="B12" s="8" t="inlineStr">
        <is>
          <t>"Tanggal 25 sudah lewat. Saatnya [upgrade]."</t>
        </is>
      </c>
      <c r="C12" s="8" t="inlineStr">
        <is>
          <t>"Gajian sudah masuk. Upgrade dulu barang yang kamu pakai TIAP HARI."</t>
        </is>
      </c>
    </row>
    <row r="13">
      <c r="A13" s="15" t="inlineStr">
        <is>
          <t>Edukasi + otoritas</t>
        </is>
      </c>
      <c r="B13" s="8" t="inlineStr">
        <is>
          <t>"Menurut [ahli], [fakta mengejutkan]."</t>
        </is>
      </c>
      <c r="C13" s="8" t="inlineStr">
        <is>
          <t>"Menurut dermatolog, celana dalam idealnya diganti total tiap 6–12 bulan."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31"/>
  <sheetViews>
    <sheetView workbookViewId="0">
      <pane xSplit="4" ySplit="1" topLeftCell="E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3" customWidth="1" min="1" max="1"/>
    <col width="9" customWidth="1" min="2" max="2"/>
    <col width="24" customWidth="1" min="3" max="3"/>
    <col width="34" customWidth="1" min="4" max="4"/>
    <col width="40" customWidth="1" min="5" max="5"/>
    <col width="20" customWidth="1" min="6" max="6"/>
    <col width="55" customWidth="1" min="7" max="7"/>
    <col width="30" customWidth="1" min="8" max="8"/>
    <col width="22" customWidth="1" min="9" max="9"/>
    <col width="38" customWidth="1" min="10" max="10"/>
    <col width="28" customWidth="1" min="11" max="11"/>
    <col width="10" customWidth="1" min="12" max="12"/>
    <col width="11" customWidth="1" min="13" max="13"/>
  </cols>
  <sheetData>
    <row r="1">
      <c r="A1" s="6" t="inlineStr">
        <is>
          <t>Tanggal</t>
        </is>
      </c>
      <c r="B1" s="6" t="inlineStr">
        <is>
          <t>Hari</t>
        </is>
      </c>
      <c r="C1" s="6" t="inlineStr">
        <is>
          <t>Pillar</t>
        </is>
      </c>
      <c r="D1" s="6" t="inlineStr">
        <is>
          <t>Judul / Ide Konten</t>
        </is>
      </c>
      <c r="E1" s="6" t="inlineStr">
        <is>
          <t>Hook (0–3 detik)</t>
        </is>
      </c>
      <c r="F1" s="6" t="inlineStr">
        <is>
          <t>Format</t>
        </is>
      </c>
      <c r="G1" s="6" t="inlineStr">
        <is>
          <t>Outline Konten</t>
        </is>
      </c>
      <c r="H1" s="6" t="inlineStr">
        <is>
          <t>CTA</t>
        </is>
      </c>
      <c r="I1" s="6" t="inlineStr">
        <is>
          <t>Audio</t>
        </is>
      </c>
      <c r="J1" s="6" t="inlineStr">
        <is>
          <t>Hashtag</t>
        </is>
      </c>
      <c r="K1" s="6" t="inlineStr">
        <is>
          <t>Aset Dibutuhkan</t>
        </is>
      </c>
      <c r="L1" s="6" t="inlineStr">
        <is>
          <t>PIC</t>
        </is>
      </c>
      <c r="M1" s="6" t="inlineStr">
        <is>
          <t>Status</t>
        </is>
      </c>
    </row>
    <row r="2">
      <c r="A2" s="42" t="n">
        <v>46230</v>
      </c>
      <c r="B2" s="10" t="inlineStr">
        <is>
          <t>Senin</t>
        </is>
      </c>
      <c r="C2" s="19" t="inlineStr">
        <is>
          <t>P4 - Brand Story &amp; BTS</t>
        </is>
      </c>
      <c r="D2" s="8" t="inlineStr">
        <is>
          <t>Kenapa kami berani jual CD 100 ribu SATU pcs (launching konten)</t>
        </is>
      </c>
      <c r="E2" s="8" t="inlineStr">
        <is>
          <t>"Semua orang bilang kami gila jual celana dalam 100 ribu. Ini jawaban kami."</t>
        </is>
      </c>
      <c r="F2" s="8" t="inlineStr">
        <is>
          <t>Founder talking head</t>
        </is>
      </c>
      <c r="G2" s="8" t="inlineStr">
        <is>
          <t>Founder pegang produk → cerita singkat kenapa brand lahir → 3 alasan harga (bahan, konstruksi, QC) → tunjukkan produk di tangan.</t>
        </is>
      </c>
      <c r="H2" s="8" t="inlineStr">
        <is>
          <t>Follow untuk lihat kami buktikan satu per satu.</t>
        </is>
      </c>
      <c r="I2" s="8" t="inlineStr">
        <is>
          <t>Voice over asli, musik cinematic pelan</t>
        </is>
      </c>
      <c r="J2" s="8" t="inlineStr">
        <is>
          <t>#ToniBlack #CelanaDalamPria #UnderwearPria #BrandLokal #QuietLuxury</t>
        </is>
      </c>
      <c r="K2" s="8" t="inlineStr">
        <is>
          <t>Founder, produk, studio sederhana</t>
        </is>
      </c>
      <c r="L2" s="20" t="inlineStr"/>
      <c r="M2" s="20" t="inlineStr">
        <is>
          <t>Ide</t>
        </is>
      </c>
    </row>
    <row r="3">
      <c r="A3" s="42" t="n">
        <v>46231</v>
      </c>
      <c r="B3" s="10" t="inlineStr">
        <is>
          <t>Selasa</t>
        </is>
      </c>
      <c r="C3" s="21" t="inlineStr">
        <is>
          <t>P1 - Edukasi &amp; Kesehatan</t>
        </is>
      </c>
      <c r="D3" s="8" t="inlineStr">
        <is>
          <t>5 tanda celana dalam kamu harus dibuang hari ini</t>
        </is>
      </c>
      <c r="E3" s="8" t="inlineStr">
        <is>
          <t>"Kalau 3 dari 5 ini ada di CD kamu... buang. Sekarang."</t>
        </is>
      </c>
      <c r="F3" s="8" t="inlineStr">
        <is>
          <t>Talking head + listicle</t>
        </is>
      </c>
      <c r="G3" s="8" t="inlineStr">
        <is>
          <t>5 tanda: karet melar, kain menipis, warna kusam, bau menetap, umur &gt;1 tahun. Tiap poin 5 detik + text overlay.</t>
        </is>
      </c>
      <c r="H3" s="8" t="inlineStr">
        <is>
          <t>Cek punyamu sekarang. Komen kamu kena berapa poin.</t>
        </is>
      </c>
      <c r="I3" s="8" t="inlineStr">
        <is>
          <t>Trending sound edukatif</t>
        </is>
      </c>
      <c r="J3" s="8" t="inlineStr">
        <is>
          <t>#ToniBlack #CelanaDalamPria #UnderwearPria #EdukasiPria #GroomingPria</t>
        </is>
      </c>
      <c r="K3" s="8" t="inlineStr">
        <is>
          <t>Host, CD lama (properti, blur)</t>
        </is>
      </c>
      <c r="L3" s="20" t="inlineStr"/>
      <c r="M3" s="20" t="inlineStr">
        <is>
          <t>Ide</t>
        </is>
      </c>
    </row>
    <row r="4">
      <c r="A4" s="42" t="n">
        <v>46232</v>
      </c>
      <c r="B4" s="10" t="inlineStr">
        <is>
          <t>Rabu</t>
        </is>
      </c>
      <c r="C4" s="22" t="inlineStr">
        <is>
          <t>P2 - Tes &amp; Demo Produk</t>
        </is>
      </c>
      <c r="D4" s="8" t="inlineStr">
        <is>
          <t>Stretch test: CD 100 ribu vs 10 ribuan</t>
        </is>
      </c>
      <c r="E4" s="8" t="inlineStr">
        <is>
          <t>"CD 100 ribu vs 10 ribu. Kita tarik sampai salah satu nyerah."</t>
        </is>
      </c>
      <c r="F4" s="8" t="inlineStr">
        <is>
          <t>Demo side-by-side</t>
        </is>
      </c>
      <c r="G4" s="8" t="inlineStr">
        <is>
          <t>Dua produk ditarik bersamaan dengan beban sama → close-up serat → hasil: recovery bentuk. Tanpa menjelekkan merek lain (tanpa merek terlihat).</t>
        </is>
      </c>
      <c r="H4" s="8" t="inlineStr">
        <is>
          <t>Masih mikir dua kali? Cek keranjang kuning.</t>
        </is>
      </c>
      <c r="I4" s="8" t="inlineStr">
        <is>
          <t>Sound tegang/drumroll</t>
        </is>
      </c>
      <c r="J4" s="8" t="inlineStr">
        <is>
          <t>#ToniBlack #CelanaDalamPria #UnderwearPria #TesProduk #RacunTikTok</t>
        </is>
      </c>
      <c r="K4" s="8" t="inlineStr">
        <is>
          <t>2 produk, alat penarik/beban, makro lens</t>
        </is>
      </c>
      <c r="L4" s="20" t="inlineStr"/>
      <c r="M4" s="20" t="inlineStr">
        <is>
          <t>Ide</t>
        </is>
      </c>
    </row>
    <row r="5">
      <c r="A5" s="42" t="n">
        <v>46233</v>
      </c>
      <c r="B5" s="10" t="inlineStr">
        <is>
          <t>Kamis</t>
        </is>
      </c>
      <c r="C5" s="21" t="inlineStr">
        <is>
          <t>P1 - Edukasi &amp; Kesehatan</t>
        </is>
      </c>
      <c r="D5" s="8" t="inlineStr">
        <is>
          <t>Kenapa area intim pria gampang gatal &amp; lembab</t>
        </is>
      </c>
      <c r="E5" s="8" t="inlineStr">
        <is>
          <t>"Bukan karena jorok. Ini penyebab sebenarnya."</t>
        </is>
      </c>
      <c r="F5" s="8" t="inlineStr">
        <is>
          <t>Talking head + ilustrasi</t>
        </is>
      </c>
      <c r="G5" s="8" t="inlineStr">
        <is>
          <t>Penyebab: bahan tidak breathable, lembab terperangkap, gesekan jahitan → solusi umum: pilih bahan &amp; konstruksi yang benar (tanpa klaim medis).</t>
        </is>
      </c>
      <c r="H5" s="8" t="inlineStr">
        <is>
          <t>Share ke temanmu yang sering ngeluh.</t>
        </is>
      </c>
      <c r="I5" s="8" t="inlineStr">
        <is>
          <t>Voice over kalem</t>
        </is>
      </c>
      <c r="J5" s="8" t="inlineStr">
        <is>
          <t>#ToniBlack #CelanaDalamPria #UnderwearPria #KesehatanPria #EdukasiPria</t>
        </is>
      </c>
      <c r="K5" s="8" t="inlineStr">
        <is>
          <t>Host, sampel kain, grafis sederhana</t>
        </is>
      </c>
      <c r="L5" s="20" t="inlineStr"/>
      <c r="M5" s="20" t="inlineStr">
        <is>
          <t>Ide</t>
        </is>
      </c>
    </row>
    <row r="6">
      <c r="A6" s="42" t="n">
        <v>46234</v>
      </c>
      <c r="B6" s="10" t="inlineStr">
        <is>
          <t>Jumat</t>
        </is>
      </c>
      <c r="C6" s="23" t="inlineStr">
        <is>
          <t>P3 - Lifestyle Premium</t>
        </is>
      </c>
      <c r="D6" s="8" t="inlineStr">
        <is>
          <t>Hal kecil yang bikin pria keliatan 'mahal'</t>
        </is>
      </c>
      <c r="E6" s="8" t="inlineStr">
        <is>
          <t>"Bukan jam. Bukan sepatu. Ini urutan pertamanya."</t>
        </is>
      </c>
      <c r="F6" s="8" t="inlineStr">
        <is>
          <t>Talking head listicle</t>
        </is>
      </c>
      <c r="G6" s="8" t="inlineStr">
        <is>
          <t>3 hal tak terlihat: wangi, kuku rapi, dalaman berkualitas → 'kemewahan yang kamu rasakan sendiri' → produk muncul di akhir (flat lay).</t>
        </is>
      </c>
      <c r="H6" s="8" t="inlineStr">
        <is>
          <t>Mulai dari yang paling dalam. Link di bio.</t>
        </is>
      </c>
      <c r="I6" s="8" t="inlineStr">
        <is>
          <t>Musik old money/jazz</t>
        </is>
      </c>
      <c r="J6" s="8" t="inlineStr">
        <is>
          <t>#ToniBlack #CelanaDalamPria #UnderwearPria #QuietLuxury #SelfCarePria</t>
        </is>
      </c>
      <c r="K6" s="8" t="inlineStr">
        <is>
          <t>Host, b-roll grooming, flat lay produk</t>
        </is>
      </c>
      <c r="L6" s="20" t="inlineStr"/>
      <c r="M6" s="20" t="inlineStr">
        <is>
          <t>Ide</t>
        </is>
      </c>
    </row>
    <row r="7">
      <c r="A7" s="42" t="n">
        <v>46235</v>
      </c>
      <c r="B7" s="10" t="inlineStr">
        <is>
          <t>Sabtu</t>
        </is>
      </c>
      <c r="C7" s="22" t="inlineStr">
        <is>
          <t>P2 - Tes &amp; Demo Produk</t>
        </is>
      </c>
      <c r="D7" s="8" t="inlineStr">
        <is>
          <t>Tes serap keringat: tuang air ke dua kain</t>
        </is>
      </c>
      <c r="E7" s="8" t="inlineStr">
        <is>
          <t>"Tuang air ke dua kain ini. Lihat mana yang 'minum' duluan."</t>
        </is>
      </c>
      <c r="F7" s="8" t="inlineStr">
        <is>
          <t>Demo close-up satisfying</t>
        </is>
      </c>
      <c r="G7" s="8" t="inlineStr">
        <is>
          <t>Slow-mo air di kain biasa (menggenang) vs kain Toni Black (menyerap) → penjelasan moisture-wicking 1 kalimat → relevansi: kering = sehat.</t>
        </is>
      </c>
      <c r="H7" s="8" t="inlineStr">
        <is>
          <t>Kulitmu tahu bedanya. Cek keranjang kuning.</t>
        </is>
      </c>
      <c r="I7" s="8" t="inlineStr">
        <is>
          <t>ASMR air + musik minimal</t>
        </is>
      </c>
      <c r="J7" s="8" t="inlineStr">
        <is>
          <t>#ToniBlack #CelanaDalamPria #UnderwearPria #SatisfyingVideo #TesProduk</t>
        </is>
      </c>
      <c r="K7" s="8" t="inlineStr">
        <is>
          <t>2 sampel kain, pipet/gelas, makro lens</t>
        </is>
      </c>
      <c r="L7" s="20" t="inlineStr"/>
      <c r="M7" s="20" t="inlineStr">
        <is>
          <t>Ide</t>
        </is>
      </c>
    </row>
    <row r="8">
      <c r="A8" s="42" t="n">
        <v>46236</v>
      </c>
      <c r="B8" s="10" t="inlineStr">
        <is>
          <t>Minggu</t>
        </is>
      </c>
      <c r="C8" s="23" t="inlineStr">
        <is>
          <t>P3 - Lifestyle Premium</t>
        </is>
      </c>
      <c r="D8" s="8" t="inlineStr">
        <is>
          <t>POV: Morning routine — quiet luxury starts underneath</t>
        </is>
      </c>
      <c r="E8" s="8" t="inlineStr">
        <is>
          <t>"Hal paling mahal yang dia pakai hari ini... nggak keliatan."</t>
        </is>
      </c>
      <c r="F8" s="8" t="inlineStr">
        <is>
          <t>POV cinematic</t>
        </is>
      </c>
      <c r="G8" s="8" t="inlineStr">
        <is>
          <t>Sinematik pagi eksekutif muda: kopi, skincare, kemeja — dan laci berisi CD tersusun rapi (produk terlihat dilipat, tidak dipakai di kamera).</t>
        </is>
      </c>
      <c r="H8" s="8" t="inlineStr">
        <is>
          <t>Upgrade dimulai dari dalam. Link di bio.</t>
        </is>
      </c>
      <c r="I8" s="8" t="inlineStr">
        <is>
          <t>Musik cinematic pagi</t>
        </is>
      </c>
      <c r="J8" s="8" t="inlineStr">
        <is>
          <t>#ToniBlack #CelanaDalamPria #UnderwearPria #MorningRoutine #QuietLuxury</t>
        </is>
      </c>
      <c r="K8" s="8" t="inlineStr">
        <is>
          <t>Talent pria, apartemen/set, wardrobe</t>
        </is>
      </c>
      <c r="L8" s="20" t="inlineStr"/>
      <c r="M8" s="20" t="inlineStr">
        <is>
          <t>Ide</t>
        </is>
      </c>
    </row>
    <row r="9">
      <c r="A9" s="42" t="n">
        <v>46237</v>
      </c>
      <c r="B9" s="10" t="inlineStr">
        <is>
          <t>Senin</t>
        </is>
      </c>
      <c r="C9" s="21" t="inlineStr">
        <is>
          <t>P1 - Edukasi &amp; Kesehatan</t>
        </is>
      </c>
      <c r="D9" s="8" t="inlineStr">
        <is>
          <t>Salah pilih bahan = jamur. Ini bahan yang benar</t>
        </is>
      </c>
      <c r="E9" s="8" t="inlineStr">
        <is>
          <t>"Bahan CD kamu menentukan kesehatan kulitmu. Serius."</t>
        </is>
      </c>
      <c r="F9" s="8" t="inlineStr">
        <is>
          <t>Perbandingan bahan</t>
        </is>
      </c>
      <c r="G9" s="8" t="inlineStr">
        <is>
          <t>Pegang 3 sampel: poliester murah, katun biasa, modal premium → jelaskan beda serat &amp; sirkulasi udara → tips memilih (edukatif, bukan klaim medis).</t>
        </is>
      </c>
      <c r="H9" s="8" t="inlineStr">
        <is>
          <t>Save video ini sebelum beli CD lagi.</t>
        </is>
      </c>
      <c r="I9" s="8" t="inlineStr">
        <is>
          <t>Voice over edukatif</t>
        </is>
      </c>
      <c r="J9" s="8" t="inlineStr">
        <is>
          <t>#ToniBlack #CelanaDalamPria #UnderwearPria #EdukasiPria #KesehatanPria</t>
        </is>
      </c>
      <c r="K9" s="8" t="inlineStr">
        <is>
          <t>3 sampel kain berlabel</t>
        </is>
      </c>
      <c r="L9" s="20" t="inlineStr"/>
      <c r="M9" s="20" t="inlineStr">
        <is>
          <t>Ide</t>
        </is>
      </c>
    </row>
    <row r="10">
      <c r="A10" s="42" t="n">
        <v>46238</v>
      </c>
      <c r="B10" s="10" t="inlineStr">
        <is>
          <t>Selasa</t>
        </is>
      </c>
      <c r="C10" s="22" t="inlineStr">
        <is>
          <t>P2 - Tes &amp; Demo Produk</t>
        </is>
      </c>
      <c r="D10" s="8" t="inlineStr">
        <is>
          <t>Anatomy of Rp100.000 — kita bedah produknya</t>
        </is>
      </c>
      <c r="E10" s="8" t="inlineStr">
        <is>
          <t>"Ini alasan kenapa 1 pcs harganya 100 ribu. Kita bedah."</t>
        </is>
      </c>
      <c r="F10" s="8" t="inlineStr">
        <is>
          <t>Breakdown komponen</t>
        </is>
      </c>
      <c r="G10" s="8" t="inlineStr">
        <is>
          <t>Bedah per bagian: gramasi bahan, jahitan flatlock, waistband tenun, karet premium → bandingkan diam-diam dengan CD murah yang dibedah juga.</t>
        </is>
      </c>
      <c r="H10" s="8" t="inlineStr">
        <is>
          <t>Sekarang kamu tahu bayar untuk apa. Link di bio.</t>
        </is>
      </c>
      <c r="I10" s="8" t="inlineStr">
        <is>
          <t>Sound explainer trending</t>
        </is>
      </c>
      <c r="J10" s="8" t="inlineStr">
        <is>
          <t>#ToniBlack #CelanaDalamPria #UnderwearPria #BehindTheScenes #TesProduk</t>
        </is>
      </c>
      <c r="K10" s="8" t="inlineStr">
        <is>
          <t>Produk untuk dibedah, gunting, makro lens</t>
        </is>
      </c>
      <c r="L10" s="20" t="inlineStr"/>
      <c r="M10" s="20" t="inlineStr">
        <is>
          <t>Ide</t>
        </is>
      </c>
    </row>
    <row r="11">
      <c r="A11" s="42" t="n">
        <v>46239</v>
      </c>
      <c r="B11" s="10" t="inlineStr">
        <is>
          <t>Rabu</t>
        </is>
      </c>
      <c r="C11" s="19" t="inlineStr">
        <is>
          <t>P4 - Brand Story &amp; BTS</t>
        </is>
      </c>
      <c r="D11" s="8" t="inlineStr">
        <is>
          <t>CD yang gagal QC kami gunting</t>
        </is>
      </c>
      <c r="E11" s="8" t="inlineStr">
        <is>
          <t>"Yang nggak lolos QC, nggak kami diskon. Kami gunting."</t>
        </is>
      </c>
      <c r="F11" s="8" t="inlineStr">
        <is>
          <t>BTS QC</t>
        </is>
      </c>
      <c r="G11" s="8" t="inlineStr">
        <is>
          <t>Proses QC: cek jahitan, karet, kain → produk gagal digunting di kamera → pesan: standar tidak bisa ditawar.</t>
        </is>
      </c>
      <c r="H11" s="8" t="inlineStr">
        <is>
          <t>Ini standar yang kamu bayar. Follow untuk BTS lain.</t>
        </is>
      </c>
      <c r="I11" s="8" t="inlineStr">
        <is>
          <t>Sound satisfying + potong kain</t>
        </is>
      </c>
      <c r="J11" s="8" t="inlineStr">
        <is>
          <t>#ToniBlack #CelanaDalamPria #UnderwearPria #QualityControl #BrandLokal</t>
        </is>
      </c>
      <c r="K11" s="8" t="inlineStr">
        <is>
          <t>Area QC, produk reject, gunting</t>
        </is>
      </c>
      <c r="L11" s="20" t="inlineStr"/>
      <c r="M11" s="20" t="inlineStr">
        <is>
          <t>Ide</t>
        </is>
      </c>
    </row>
    <row r="12">
      <c r="A12" s="42" t="n">
        <v>46240</v>
      </c>
      <c r="B12" s="10" t="inlineStr">
        <is>
          <t>Kamis</t>
        </is>
      </c>
      <c r="C12" s="21" t="inlineStr">
        <is>
          <t>P1 - Edukasi &amp; Kesehatan</t>
        </is>
      </c>
      <c r="D12" s="8" t="inlineStr">
        <is>
          <t>Umur ideal celana dalam menurut dermatolog</t>
        </is>
      </c>
      <c r="E12" s="8" t="inlineStr">
        <is>
          <t>"Kamu pakai CD yang sama lebih dari setahun? Dengerin dulu."</t>
        </is>
      </c>
      <c r="F12" s="8" t="inlineStr">
        <is>
          <t>Talking head</t>
        </is>
      </c>
      <c r="G12" s="8" t="inlineStr">
        <is>
          <t>Rangkum saran umum dermatolog: rotasi minimal, ganti total 6–12 bulan, tanda-tanda wajib ganti → sitasi 'menurut dermatolog' (bukan klaim sendiri).</t>
        </is>
      </c>
      <c r="H12" s="8" t="inlineStr">
        <is>
          <t>Cek laci kamu malam ini.</t>
        </is>
      </c>
      <c r="I12" s="8" t="inlineStr">
        <is>
          <t>Voice over + text overlay</t>
        </is>
      </c>
      <c r="J12" s="8" t="inlineStr">
        <is>
          <t>#ToniBlack #CelanaDalamPria #UnderwearPria #KesehatanPria #EdukasiPria</t>
        </is>
      </c>
      <c r="K12" s="8" t="inlineStr">
        <is>
          <t>Host, properti produk</t>
        </is>
      </c>
      <c r="L12" s="20" t="inlineStr"/>
      <c r="M12" s="20" t="inlineStr">
        <is>
          <t>Ide</t>
        </is>
      </c>
    </row>
    <row r="13">
      <c r="A13" s="42" t="n">
        <v>46241</v>
      </c>
      <c r="B13" s="10" t="inlineStr">
        <is>
          <t>Jumat</t>
        </is>
      </c>
      <c r="C13" s="23" t="inlineStr">
        <is>
          <t>P3 - Lifestyle Premium</t>
        </is>
      </c>
      <c r="D13" s="8" t="inlineStr">
        <is>
          <t>Gift guide: kado untuk suami/pacar yang dia PAKAI</t>
        </is>
      </c>
      <c r="E13" s="8" t="inlineStr">
        <is>
          <t>"Kado buat cowok itu gampang. Yang susah itu kado yang dia PAKAI."</t>
        </is>
      </c>
      <c r="F13" s="8" t="inlineStr">
        <is>
          <t>Gift angle (audiens perempuan)</t>
        </is>
      </c>
      <c r="G13" s="8" t="inlineStr">
        <is>
          <t>Masalah: kado pria sering nganggur → solusi: barang harian tapi premium → tunjukkan gift box Toni Black + reaksi unboxing.</t>
        </is>
      </c>
      <c r="H13" s="8" t="inlineStr">
        <is>
          <t>Tag pasanganmu. Gift box ada di keranjang kuning.</t>
        </is>
      </c>
      <c r="I13" s="8" t="inlineStr">
        <is>
          <t>Musik lucu/warm</t>
        </is>
      </c>
      <c r="J13" s="8" t="inlineStr">
        <is>
          <t>#ToniBlack #CelanaDalamPria #UnderwearPria #KadoSuami #GiftIdeas #KadoPacar</t>
        </is>
      </c>
      <c r="K13" s="8" t="inlineStr">
        <is>
          <t>Gift box, talent perempuan</t>
        </is>
      </c>
      <c r="L13" s="20" t="inlineStr"/>
      <c r="M13" s="20" t="inlineStr">
        <is>
          <t>Ide</t>
        </is>
      </c>
    </row>
    <row r="14">
      <c r="A14" s="42" t="n">
        <v>46242</v>
      </c>
      <c r="B14" s="10" t="inlineStr">
        <is>
          <t>Sabtu</t>
        </is>
      </c>
      <c r="C14" s="22" t="inlineStr">
        <is>
          <t>P2 - Tes &amp; Demo Produk</t>
        </is>
      </c>
      <c r="D14" s="8" t="inlineStr">
        <is>
          <t>Unboxing ASMR packaging premium</t>
        </is>
      </c>
      <c r="E14" s="8" t="inlineStr">
        <is>
          <t>(Tanpa bicara — suara box) Text: "Kado terbaik itu yang dipakai tiap hari."</t>
        </is>
      </c>
      <c r="F14" s="8" t="inlineStr">
        <is>
          <t>ASMR unboxing</t>
        </is>
      </c>
      <c r="G14" s="8" t="inlineStr">
        <is>
          <t>Unboxing pelan: sleeve, tissue paper, produk terlipat rapi, kartu ucapan → semua suara asli, tanpa musik.</t>
        </is>
      </c>
      <c r="H14" s="8" t="inlineStr">
        <is>
          <t>Kirim ke dia yang perlu upgrade.</t>
        </is>
      </c>
      <c r="I14" s="8" t="inlineStr">
        <is>
          <t>ASMR murni</t>
        </is>
      </c>
      <c r="J14" s="8" t="inlineStr">
        <is>
          <t>#ToniBlack #CelanaDalamPria #UnderwearPria #ASMRUnboxing #PackagingPremium</t>
        </is>
      </c>
      <c r="K14" s="8" t="inlineStr">
        <is>
          <t>Packaging lengkap, mic ASMR, makro lens</t>
        </is>
      </c>
      <c r="L14" s="20" t="inlineStr"/>
      <c r="M14" s="20" t="inlineStr">
        <is>
          <t>Ide</t>
        </is>
      </c>
    </row>
    <row r="15">
      <c r="A15" s="42" t="n">
        <v>46243</v>
      </c>
      <c r="B15" s="10" t="inlineStr">
        <is>
          <t>Minggu</t>
        </is>
      </c>
      <c r="C15" s="24" t="inlineStr">
        <is>
          <t>P5 - Social Proof &amp; Selling</t>
        </is>
      </c>
      <c r="D15" s="8" t="inlineStr">
        <is>
          <t>Testimoni: aku beliin suamiku CD 100 ribu</t>
        </is>
      </c>
      <c r="E15" s="8" t="inlineStr">
        <is>
          <t>"Aku beliin suamiku celana dalam 100 ribu. Reaksinya di luar dugaan."</t>
        </is>
      </c>
      <c r="F15" s="8" t="inlineStr">
        <is>
          <t>UGC/testimoni</t>
        </is>
      </c>
      <c r="G15" s="8" t="inlineStr">
        <is>
          <t>UGC istri: awalnya suami protes harga → seminggu kemudian minta dibeliin lagi → screenshot chat asli (dengan izin).</t>
        </is>
      </c>
      <c r="H15" s="8" t="inlineStr">
        <is>
          <t>Coba dulu 1. Keranjang kuning.</t>
        </is>
      </c>
      <c r="I15" s="8" t="inlineStr">
        <is>
          <t>Voice over UGC natural</t>
        </is>
      </c>
      <c r="J15" s="8" t="inlineStr">
        <is>
          <t>#ToniBlack #CelanaDalamPria #UnderwearPria #ReviewJujur #KadoSuami</t>
        </is>
      </c>
      <c r="K15" s="8" t="inlineStr">
        <is>
          <t>UGC dari kreator/istri kreator</t>
        </is>
      </c>
      <c r="L15" s="20" t="inlineStr"/>
      <c r="M15" s="20" t="inlineStr">
        <is>
          <t>Ide</t>
        </is>
      </c>
    </row>
    <row r="16">
      <c r="A16" s="42" t="n">
        <v>46244</v>
      </c>
      <c r="B16" s="10" t="inlineStr">
        <is>
          <t>Senin</t>
        </is>
      </c>
      <c r="C16" s="21" t="inlineStr">
        <is>
          <t>P1 - Edukasi &amp; Kesehatan</t>
        </is>
      </c>
      <c r="D16" s="8" t="inlineStr">
        <is>
          <t>3 kesalahan pria saat beli celana dalam</t>
        </is>
      </c>
      <c r="E16" s="8" t="inlineStr">
        <is>
          <t>"Kesalahan no. 2 dilakukan 90% pria Indonesia."</t>
        </is>
      </c>
      <c r="F16" s="8" t="inlineStr">
        <is>
          <t>Listicle cepat</t>
        </is>
      </c>
      <c r="G16" s="8" t="inlineStr">
        <is>
          <t>1: beli karena murah per lusin, 2: salah ukuran (ikut kaos), 3: tidak lihat bahan → solusi singkat tiap poin.</t>
        </is>
      </c>
      <c r="H16" s="8" t="inlineStr">
        <is>
          <t>Komen: kamu pernah yang mana?</t>
        </is>
      </c>
      <c r="I16" s="8" t="inlineStr">
        <is>
          <t>Trending sound listicle</t>
        </is>
      </c>
      <c r="J16" s="8" t="inlineStr">
        <is>
          <t>#ToniBlack #CelanaDalamPria #UnderwearPria #EdukasiPria #TipsPria</t>
        </is>
      </c>
      <c r="K16" s="8" t="inlineStr">
        <is>
          <t>Host, properti produk</t>
        </is>
      </c>
      <c r="L16" s="20" t="inlineStr"/>
      <c r="M16" s="20" t="inlineStr">
        <is>
          <t>Ide</t>
        </is>
      </c>
    </row>
    <row r="17">
      <c r="A17" s="42" t="n">
        <v>46245</v>
      </c>
      <c r="B17" s="10" t="inlineStr">
        <is>
          <t>Selasa</t>
        </is>
      </c>
      <c r="C17" s="22" t="inlineStr">
        <is>
          <t>P2 - Tes &amp; Demo Produk</t>
        </is>
      </c>
      <c r="D17" s="8" t="inlineStr">
        <is>
          <t>Tes breathability: kain ini bisa 'napas' nggak?</t>
        </is>
      </c>
      <c r="E17" s="8" t="inlineStr">
        <is>
          <t>"Kalau uap aja nggak bisa lewat, gimana kulitmu bisa napas?"</t>
        </is>
      </c>
      <c r="F17" s="8" t="inlineStr">
        <is>
          <t>Demo uap</t>
        </is>
      </c>
      <c r="G17" s="8" t="inlineStr">
        <is>
          <t>Uap/hairdryer di balik dua kain → kain murah: uap terperangkap; Toni Black: tembus → 1 kalimat penjelasan sirkulasi udara.</t>
        </is>
      </c>
      <c r="H17" s="8" t="inlineStr">
        <is>
          <t>Kulit juga butuh napas. Link di bio.</t>
        </is>
      </c>
      <c r="I17" s="8" t="inlineStr">
        <is>
          <t>Sound eksperimen</t>
        </is>
      </c>
      <c r="J17" s="8" t="inlineStr">
        <is>
          <t>#ToniBlack #CelanaDalamPria #UnderwearPria #TesProduk #SatisfyingVideo</t>
        </is>
      </c>
      <c r="K17" s="8" t="inlineStr">
        <is>
          <t>2 sampel kain, sumber uap, lighting</t>
        </is>
      </c>
      <c r="L17" s="20" t="inlineStr"/>
      <c r="M17" s="20" t="inlineStr">
        <is>
          <t>Ide</t>
        </is>
      </c>
    </row>
    <row r="18">
      <c r="A18" s="42" t="n">
        <v>46246</v>
      </c>
      <c r="B18" s="10" t="inlineStr">
        <is>
          <t>Rabu</t>
        </is>
      </c>
      <c r="C18" s="23" t="inlineStr">
        <is>
          <t>P3 - Lifestyle Premium</t>
        </is>
      </c>
      <c r="D18" s="8" t="inlineStr">
        <is>
          <t>Umur 30 ke atas: upgrade barang yang kamu pakai TIAP HARI</t>
        </is>
      </c>
      <c r="E18" s="8" t="inlineStr">
        <is>
          <t>"Umur 30 ke atas, upgrade barang yang kamu pakai TIAP HARI dulu."</t>
        </is>
      </c>
      <c r="F18" s="8" t="inlineStr">
        <is>
          <t>Talking head + b-roll</t>
        </is>
      </c>
      <c r="G18" s="8" t="inlineStr">
        <is>
          <t>Konsep cost-per-wear: barang harian premium lebih masuk akal daripada barang pamer jarang dipakai → contoh: kasur, sepatu harian, celana dalam.</t>
        </is>
      </c>
      <c r="H18" s="8" t="inlineStr">
        <is>
          <t>Hitung cost-per-wear-mu. Link di bio.</t>
        </is>
      </c>
      <c r="I18" s="8" t="inlineStr">
        <is>
          <t>Musik motivasional kalem</t>
        </is>
      </c>
      <c r="J18" s="8" t="inlineStr">
        <is>
          <t>#ToniBlack #CelanaDalamPria #UnderwearPria #SelfImprovement #QuietLuxury</t>
        </is>
      </c>
      <c r="K18" s="8" t="inlineStr">
        <is>
          <t>Host, b-roll lifestyle</t>
        </is>
      </c>
      <c r="L18" s="20" t="inlineStr"/>
      <c r="M18" s="20" t="inlineStr">
        <is>
          <t>Ide</t>
        </is>
      </c>
    </row>
    <row r="19">
      <c r="A19" s="42" t="n">
        <v>46247</v>
      </c>
      <c r="B19" s="10" t="inlineStr">
        <is>
          <t>Kamis</t>
        </is>
      </c>
      <c r="C19" s="21" t="inlineStr">
        <is>
          <t>P1 - Edukasi &amp; Kesehatan</t>
        </is>
      </c>
      <c r="D19" s="8" t="inlineStr">
        <is>
          <t>Mitos atau fakta: CD ketat berbahaya?</t>
        </is>
      </c>
      <c r="E19" s="8" t="inlineStr">
        <is>
          <t>"Katanya CD ketat itu bahaya. Mitos atau fakta?"</t>
        </is>
      </c>
      <c r="F19" s="8" t="inlineStr">
        <is>
          <t>Mitos vs fakta</t>
        </is>
      </c>
      <c r="G19" s="8" t="inlineStr">
        <is>
          <t>Bahas netral: yang penting bukan ketat/longgar tapi bahan breathable &amp; ukuran pas → edukasi cara cek ukuran benar. Hindari klaim kesuburan spesifik.</t>
        </is>
      </c>
      <c r="H19" s="8" t="inlineStr">
        <is>
          <t>Save untuk referensi ukuran.</t>
        </is>
      </c>
      <c r="I19" s="8" t="inlineStr">
        <is>
          <t>Sound kuis/mitos-fakta</t>
        </is>
      </c>
      <c r="J19" s="8" t="inlineStr">
        <is>
          <t>#ToniBlack #CelanaDalamPria #UnderwearPria #MitosFakta #EdukasiPria</t>
        </is>
      </c>
      <c r="K19" s="8" t="inlineStr">
        <is>
          <t>Host, size chart</t>
        </is>
      </c>
      <c r="L19" s="20" t="inlineStr"/>
      <c r="M19" s="20" t="inlineStr">
        <is>
          <t>Ide</t>
        </is>
      </c>
    </row>
    <row r="20">
      <c r="A20" s="42" t="n">
        <v>46248</v>
      </c>
      <c r="B20" s="10" t="inlineStr">
        <is>
          <t>Jumat</t>
        </is>
      </c>
      <c r="C20" s="19" t="inlineStr">
        <is>
          <t>P4 - Brand Story &amp; BTS</t>
        </is>
      </c>
      <c r="D20" s="8" t="inlineStr">
        <is>
          <t>Balas komentar: 'mending 10 pcs 100 ribu'</t>
        </is>
      </c>
      <c r="E20" s="8" t="inlineStr">
        <is>
          <t>Screenshot komen → "Oke, kita hitung bareng-bareng."</t>
        </is>
      </c>
      <c r="F20" s="8" t="inlineStr">
        <is>
          <t>Reply-to-comment</t>
        </is>
      </c>
      <c r="G20" s="8" t="inlineStr">
        <is>
          <t>Hitung cost-per-wear: CD murah rusak 2 bulan vs premium 1,5–2 tahun → per hari justru lebih murah → tutup dengan senyum, tanpa defensif.</t>
        </is>
      </c>
      <c r="H20" s="8" t="inlineStr">
        <is>
          <t>Masih tim borongan? Komen di bawah.</t>
        </is>
      </c>
      <c r="I20" s="8" t="inlineStr">
        <is>
          <t>Voice over santai</t>
        </is>
      </c>
      <c r="J20" s="8" t="inlineStr">
        <is>
          <t>#ToniBlack #CelanaDalamPria #UnderwearPria #ReplyToComment #CostPerWear</t>
        </is>
      </c>
      <c r="K20" s="8" t="inlineStr">
        <is>
          <t>Screenshot komen, kalkulator on screen</t>
        </is>
      </c>
      <c r="L20" s="20" t="inlineStr"/>
      <c r="M20" s="20" t="inlineStr">
        <is>
          <t>Ide</t>
        </is>
      </c>
    </row>
    <row r="21">
      <c r="A21" s="42" t="n">
        <v>46249</v>
      </c>
      <c r="B21" s="10" t="inlineStr">
        <is>
          <t>Sabtu</t>
        </is>
      </c>
      <c r="C21" s="22" t="inlineStr">
        <is>
          <t>P2 - Tes &amp; Demo Produk</t>
        </is>
      </c>
      <c r="D21" s="8" t="inlineStr">
        <is>
          <t>Slow-mo: jahitan flatlock &amp; waistband</t>
        </is>
      </c>
      <c r="E21" s="8" t="inlineStr">
        <is>
          <t>"Perbedaan 100 ribu itu ada di detail yang nggak pernah kamu perhatiin."</t>
        </is>
      </c>
      <c r="F21" s="8" t="inlineStr">
        <is>
          <t>Makro slow-mo</t>
        </is>
      </c>
      <c r="G21" s="8" t="inlineStr">
        <is>
          <t>Makro ekstrem: jahitan flatlock (anti-gesek), tenunan waistband, label tanpa gatal → side-by-side dengan jahitan CD murah.</t>
        </is>
      </c>
      <c r="H21" s="8" t="inlineStr">
        <is>
          <t>Detail itu mahal. Link di bio.</t>
        </is>
      </c>
      <c r="I21" s="8" t="inlineStr">
        <is>
          <t>Musik minimal elegan</t>
        </is>
      </c>
      <c r="J21" s="8" t="inlineStr">
        <is>
          <t>#ToniBlack #CelanaDalamPria #UnderwearPria #MacroVideo #DetailProduk</t>
        </is>
      </c>
      <c r="K21" s="8" t="inlineStr">
        <is>
          <t>Makro lens, lighting, 2 produk</t>
        </is>
      </c>
      <c r="L21" s="20" t="inlineStr"/>
      <c r="M21" s="20" t="inlineStr">
        <is>
          <t>Ide</t>
        </is>
      </c>
    </row>
    <row r="22">
      <c r="A22" s="42" t="n">
        <v>46250</v>
      </c>
      <c r="B22" s="10" t="inlineStr">
        <is>
          <t>Minggu</t>
        </is>
      </c>
      <c r="C22" s="23" t="inlineStr">
        <is>
          <t>P3 - Lifestyle Premium</t>
        </is>
      </c>
      <c r="D22" s="8" t="inlineStr">
        <is>
          <t>Packing kabin: business trip 3 hari</t>
        </is>
      </c>
      <c r="E22" s="8" t="inlineStr">
        <is>
          <t>"Business trip 3 hari, 1 tas kabin. Yang pertama masuk?"</t>
        </is>
      </c>
      <c r="F22" s="8" t="inlineStr">
        <is>
          <t>Packing video</t>
        </is>
      </c>
      <c r="G22" s="8" t="inlineStr">
        <is>
          <t>Packing rapi ala frequent flyer: kemeja digulung, pouch terpisah untuk dalaman premium → CD Toni Black dilipat rapi masuk pouch.</t>
        </is>
      </c>
      <c r="H22" s="8" t="inlineStr">
        <is>
          <t>Travel kit ada di keranjang kuning.</t>
        </is>
      </c>
      <c r="I22" s="8" t="inlineStr">
        <is>
          <t>Sound packing trending</t>
        </is>
      </c>
      <c r="J22" s="8" t="inlineStr">
        <is>
          <t>#ToniBlack #CelanaDalamPria #UnderwearPria #PackingVideo #BusinessTrip</t>
        </is>
      </c>
      <c r="K22" s="8" t="inlineStr">
        <is>
          <t>Koper kabin, wardrobe, pouch</t>
        </is>
      </c>
      <c r="L22" s="20" t="inlineStr"/>
      <c r="M22" s="20" t="inlineStr">
        <is>
          <t>Ide</t>
        </is>
      </c>
    </row>
    <row r="23">
      <c r="A23" s="42" t="n">
        <v>46251</v>
      </c>
      <c r="B23" s="10" t="inlineStr">
        <is>
          <t>Senin</t>
        </is>
      </c>
      <c r="C23" s="21" t="inlineStr">
        <is>
          <t>P1 - Edukasi &amp; Kesehatan</t>
        </is>
      </c>
      <c r="D23" s="8" t="inlineStr">
        <is>
          <t>Cara merawat CD premium biar awet 2 tahun</t>
        </is>
      </c>
      <c r="E23" s="8" t="inlineStr">
        <is>
          <t>"Barang 100 ribu dirawatnya beda. Ini caranya."</t>
        </is>
      </c>
      <c r="F23" s="8" t="inlineStr">
        <is>
          <t>Tutorial singkat</t>
        </is>
      </c>
      <c r="G23" s="8" t="inlineStr">
        <is>
          <t>3 aturan: cuci lembut/tangan, jangan mesin pengering panas, jemur terbalik tanpa matahari langsung → bonus: cara melipat ala retail.</t>
        </is>
      </c>
      <c r="H23" s="8" t="inlineStr">
        <is>
          <t>Save biar investasimu awet.</t>
        </is>
      </c>
      <c r="I23" s="8" t="inlineStr">
        <is>
          <t>Voice over tutorial</t>
        </is>
      </c>
      <c r="J23" s="8" t="inlineStr">
        <is>
          <t>#ToniBlack #CelanaDalamPria #UnderwearPria #TipsPerawatan #EdukasiPria</t>
        </is>
      </c>
      <c r="K23" s="8" t="inlineStr">
        <is>
          <t>Produk, area laundry, laci</t>
        </is>
      </c>
      <c r="L23" s="20" t="inlineStr"/>
      <c r="M23" s="20" t="inlineStr">
        <is>
          <t>Ide</t>
        </is>
      </c>
    </row>
    <row r="24">
      <c r="A24" s="42" t="n">
        <v>46252</v>
      </c>
      <c r="B24" s="10" t="inlineStr">
        <is>
          <t>Selasa</t>
        </is>
      </c>
      <c r="C24" s="22" t="inlineStr">
        <is>
          <t>P2 - Tes &amp; Demo Produk</t>
        </is>
      </c>
      <c r="D24" s="8" t="inlineStr">
        <is>
          <t>Tes cuci 30x: masih sama nggak bentuknya?</t>
        </is>
      </c>
      <c r="E24" s="8" t="inlineStr">
        <is>
          <t>"CD ini sudah dicuci 30 kali. Ini bentuknya sekarang."</t>
        </is>
      </c>
      <c r="F24" s="8" t="inlineStr">
        <is>
          <t>Before/after + timelapse</t>
        </is>
      </c>
      <c r="G24" s="8" t="inlineStr">
        <is>
          <t>Timelapse dokumentasi 30x cuci → bandingkan dengan unit baru: warna, karet, bentuk → bukti durability tanpa banyak bicara.</t>
        </is>
      </c>
      <c r="H24" s="8" t="inlineStr">
        <is>
          <t>Ini yang kamu bayar. Keranjang kuning.</t>
        </is>
      </c>
      <c r="I24" s="8" t="inlineStr">
        <is>
          <t>Musik build-up</t>
        </is>
      </c>
      <c r="J24" s="8" t="inlineStr">
        <is>
          <t>#ToniBlack #CelanaDalamPria #UnderwearPria #TesProduk #BeforeAfter</t>
        </is>
      </c>
      <c r="K24" s="8" t="inlineStr">
        <is>
          <t>2 unit produk (baru &amp; 30x cuci), dokumentasi</t>
        </is>
      </c>
      <c r="L24" s="20" t="inlineStr"/>
      <c r="M24" s="20" t="inlineStr">
        <is>
          <t>Ide</t>
        </is>
      </c>
    </row>
    <row r="25">
      <c r="A25" s="42" t="n">
        <v>46253</v>
      </c>
      <c r="B25" s="10" t="inlineStr">
        <is>
          <t>Rabu</t>
        </is>
      </c>
      <c r="C25" s="24" t="inlineStr">
        <is>
          <t>P5 - Social Proof &amp; Selling</t>
        </is>
      </c>
      <c r="D25" s="8" t="inlineStr">
        <is>
          <t>Kata mereka yang sudah pindah ke Toni Black</t>
        </is>
      </c>
      <c r="E25" s="8" t="inlineStr">
        <is>
          <t>"Kata mereka yang sudah pindah ke Toni Black:"</t>
        </is>
      </c>
      <c r="F25" s="8" t="inlineStr">
        <is>
          <t>Kompilasi review</t>
        </is>
      </c>
      <c r="G25" s="8" t="inlineStr">
        <is>
          <t>Kompilasi screenshot rating &amp; review TikTok Shop/marketplace → highlight 3 review terbaik dengan voice over → CTA jelas.</t>
        </is>
      </c>
      <c r="H25" s="8" t="inlineStr">
        <is>
          <t>Buktikan sendiri. Keranjang kuning.</t>
        </is>
      </c>
      <c r="I25" s="8" t="inlineStr">
        <is>
          <t>Musik uplifting</t>
        </is>
      </c>
      <c r="J25" s="8" t="inlineStr">
        <is>
          <t>#ToniBlack #CelanaDalamPria #UnderwearPria #ReviewJujur #TikTokShop</t>
        </is>
      </c>
      <c r="K25" s="8" t="inlineStr">
        <is>
          <t>Screenshot review, template edit</t>
        </is>
      </c>
      <c r="L25" s="20" t="inlineStr"/>
      <c r="M25" s="20" t="inlineStr">
        <is>
          <t>Ide</t>
        </is>
      </c>
    </row>
    <row r="26">
      <c r="A26" s="42" t="n">
        <v>46254</v>
      </c>
      <c r="B26" s="10" t="inlineStr">
        <is>
          <t>Kamis</t>
        </is>
      </c>
      <c r="C26" s="23" t="inlineStr">
        <is>
          <t>P3 - Lifestyle Premium</t>
        </is>
      </c>
      <c r="D26" s="8" t="inlineStr">
        <is>
          <t>What's in my gym bag — versi pria rapi</t>
        </is>
      </c>
      <c r="E26" s="8" t="inlineStr">
        <is>
          <t>"Isi tas gym pria yang rapi. Nomor 4 sering dilupakan."</t>
        </is>
      </c>
      <c r="F26" s="8" t="inlineStr">
        <is>
          <t>Listicle visual</t>
        </is>
      </c>
      <c r="G26" s="8" t="inlineStr">
        <is>
          <t>Isi tas: sepatu, handuk, skincare mini, CD ganti (poin edukasi: selalu bawa ganti setelah olahraga — keringat = lembab).</t>
        </is>
      </c>
      <c r="H26" s="8" t="inlineStr">
        <is>
          <t>Jangan skip nomor 4. Link di bio.</t>
        </is>
      </c>
      <c r="I26" s="8" t="inlineStr">
        <is>
          <t>Sound gym trending</t>
        </is>
      </c>
      <c r="J26" s="8" t="inlineStr">
        <is>
          <t>#ToniBlack #CelanaDalamPria #UnderwearPria #GymBag #GroomingPria</t>
        </is>
      </c>
      <c r="K26" s="8" t="inlineStr">
        <is>
          <t>Tas gym, properti, talent</t>
        </is>
      </c>
      <c r="L26" s="20" t="inlineStr"/>
      <c r="M26" s="20" t="inlineStr">
        <is>
          <t>Ide</t>
        </is>
      </c>
    </row>
    <row r="27">
      <c r="A27" s="42" t="n">
        <v>46255</v>
      </c>
      <c r="B27" s="10" t="inlineStr">
        <is>
          <t>Jumat</t>
        </is>
      </c>
      <c r="C27" s="21" t="inlineStr">
        <is>
          <t>P1 - Edukasi &amp; Kesehatan</t>
        </is>
      </c>
      <c r="D27" s="8" t="inlineStr">
        <is>
          <t>Kenapa pria butuh minimal 7 pcs (sistem rotasi)</t>
        </is>
      </c>
      <c r="E27" s="8" t="inlineStr">
        <is>
          <t>"Punya CD banyak itu bukan boros. Ini hitungannya."</t>
        </is>
      </c>
      <c r="F27" s="8" t="inlineStr">
        <is>
          <t>Edukasi + soft sell</t>
        </is>
      </c>
      <c r="G27" s="8" t="inlineStr">
        <is>
          <t>Sistem rotasi 7+: kain istirahat = lebih awet, selalu ada cadangan kering → bridge halus ke bundle hemat Toni Black.</t>
        </is>
      </c>
      <c r="H27" s="8" t="inlineStr">
        <is>
          <t>Lengkapi rotasimu. Bundle di keranjang kuning.</t>
        </is>
      </c>
      <c r="I27" s="8" t="inlineStr">
        <is>
          <t>Voice over santai</t>
        </is>
      </c>
      <c r="J27" s="8" t="inlineStr">
        <is>
          <t>#ToniBlack #CelanaDalamPria #UnderwearPria #EdukasiPria #TipsPria</t>
        </is>
      </c>
      <c r="K27" s="8" t="inlineStr">
        <is>
          <t>7 produk tersusun di laci</t>
        </is>
      </c>
      <c r="L27" s="20" t="inlineStr"/>
      <c r="M27" s="20" t="inlineStr">
        <is>
          <t>Ide</t>
        </is>
      </c>
    </row>
    <row r="28">
      <c r="A28" s="42" t="n">
        <v>46256</v>
      </c>
      <c r="B28" s="10" t="inlineStr">
        <is>
          <t>Sabtu</t>
        </is>
      </c>
      <c r="C28" s="19" t="inlineStr">
        <is>
          <t>P4 - Brand Story &amp; BTS</t>
        </is>
      </c>
      <c r="D28" s="8" t="inlineStr">
        <is>
          <t>Dari benang sampai jadi: proses produksi</t>
        </is>
      </c>
      <c r="E28" s="8" t="inlineStr">
        <is>
          <t>"100 ribu itu bukan harga kain. Ini prosesnya."</t>
        </is>
      </c>
      <c r="F28" s="8" t="inlineStr">
        <is>
          <t>BTS produksi</t>
        </is>
      </c>
      <c r="G28" s="8" t="inlineStr">
        <is>
          <t>Perjalanan produk: pemilihan kain → cutting → jahit → QC → packing. Cepat, 5–7 detik per tahap, text overlay tiap tahap.</t>
        </is>
      </c>
      <c r="H28" s="8" t="inlineStr">
        <is>
          <t>Sekarang kamu tahu prosesnya. Follow untuk BTS lain.</t>
        </is>
      </c>
      <c r="I28" s="8" t="inlineStr">
        <is>
          <t>Musik dokumenter</t>
        </is>
      </c>
      <c r="J28" s="8" t="inlineStr">
        <is>
          <t>#ToniBlack #CelanaDalamPria #UnderwearPria #BehindTheScenes #ProsesProduksi</t>
        </is>
      </c>
      <c r="K28" s="8" t="inlineStr">
        <is>
          <t>Akses pabrik/workshop, footage produksi</t>
        </is>
      </c>
      <c r="L28" s="20" t="inlineStr"/>
      <c r="M28" s="20" t="inlineStr">
        <is>
          <t>Ide</t>
        </is>
      </c>
    </row>
    <row r="29">
      <c r="A29" s="42" t="n">
        <v>46257</v>
      </c>
      <c r="B29" s="10" t="inlineStr">
        <is>
          <t>Minggu</t>
        </is>
      </c>
      <c r="C29" s="21" t="inlineStr">
        <is>
          <t>P1 - Edukasi &amp; Kesehatan</t>
        </is>
      </c>
      <c r="D29" s="8" t="inlineStr">
        <is>
          <t>Kenapa CD hitam paling recommended?</t>
        </is>
      </c>
      <c r="E29" s="8" t="inlineStr">
        <is>
          <t>"Ada alasannya kenapa CD terbaik di dunia kebanyakan warna gelap."</t>
        </is>
      </c>
      <c r="F29" s="8" t="inlineStr">
        <is>
          <t>Light education</t>
        </is>
      </c>
      <c r="G29" s="8" t="inlineStr">
        <is>
          <t>Alasan praktis warna gelap: noda &amp; kusam tidak terlihat, terlihat baru lebih lama, netral di balik semua outfit → tunjukkan lini warna Toni Black.</t>
        </is>
      </c>
      <c r="H29" s="8" t="inlineStr">
        <is>
          <t>Tim hitam atau tim navy? Komen.</t>
        </is>
      </c>
      <c r="I29" s="8" t="inlineStr">
        <is>
          <t>Sound santai weekend</t>
        </is>
      </c>
      <c r="J29" s="8" t="inlineStr">
        <is>
          <t>#ToniBlack #CelanaDalamPria #UnderwearPria #FunFact #MensFashion</t>
        </is>
      </c>
      <c r="K29" s="8" t="inlineStr">
        <is>
          <t>Produk beberapa warna, flat lay</t>
        </is>
      </c>
      <c r="L29" s="20" t="inlineStr"/>
      <c r="M29" s="20" t="inlineStr">
        <is>
          <t>Ide</t>
        </is>
      </c>
    </row>
    <row r="30">
      <c r="A30" s="42" t="n">
        <v>46258</v>
      </c>
      <c r="B30" s="10" t="inlineStr">
        <is>
          <t>Senin</t>
        </is>
      </c>
      <c r="C30" s="22" t="inlineStr">
        <is>
          <t>P2 - Tes &amp; Demo Produk</t>
        </is>
      </c>
      <c r="D30" s="8" t="inlineStr">
        <is>
          <t>Timbang gramasi: kain berat vs kain tipis</t>
        </is>
      </c>
      <c r="E30" s="8" t="inlineStr">
        <is>
          <t>"Kain CD itu ada 'kelasnya'. Kita timbang biar jujur."</t>
        </is>
      </c>
      <c r="F30" s="8" t="inlineStr">
        <is>
          <t>Demo timbangan</t>
        </is>
      </c>
      <c r="G30" s="8" t="inlineStr">
        <is>
          <t>Timbang kain CD murah vs Toni Black (per ukuran sama) → gramasi lebih tinggi = kain lebih padat &amp; tahan lama → edukasi istilah gramasi (GSM).</t>
        </is>
      </c>
      <c r="H30" s="8" t="inlineStr">
        <is>
          <t>Sekarang kamu ngerti GSM. Link di bio.</t>
        </is>
      </c>
      <c r="I30" s="8" t="inlineStr">
        <is>
          <t>Sound eksperimen</t>
        </is>
      </c>
      <c r="J30" s="8" t="inlineStr">
        <is>
          <t>#ToniBlack #CelanaDalamPria #UnderwearPria #TesProduk #EdukasiPria</t>
        </is>
      </c>
      <c r="K30" s="8" t="inlineStr">
        <is>
          <t>Timbangan digital, 2 sampel kain</t>
        </is>
      </c>
      <c r="L30" s="20" t="inlineStr"/>
      <c r="M30" s="20" t="inlineStr">
        <is>
          <t>Ide</t>
        </is>
      </c>
    </row>
    <row r="31">
      <c r="A31" s="42" t="n">
        <v>46259</v>
      </c>
      <c r="B31" s="10" t="inlineStr">
        <is>
          <t>Selasa</t>
        </is>
      </c>
      <c r="C31" s="24" t="inlineStr">
        <is>
          <t>P5 - Social Proof &amp; Selling</t>
        </is>
      </c>
      <c r="D31" s="8" t="inlineStr">
        <is>
          <t>Gajian sudah masuk — saatnya gift box (soft launch LIVE)</t>
        </is>
      </c>
      <c r="E31" s="8" t="inlineStr">
        <is>
          <t>"Gajian sudah masuk. Upgrade dulu barang yang kamu pakai TIAP HARI."</t>
        </is>
      </c>
      <c r="F31" s="8" t="inlineStr">
        <is>
          <t>Promo momen gajian</t>
        </is>
      </c>
      <c r="G31" s="8" t="inlineStr">
        <is>
          <t>Recap value 1 bulan konten (cuplikan demo terbaik) → tawaran bundle gift box edisi gajian → umumkan jadwal LIVE perdana malam ini.</t>
        </is>
      </c>
      <c r="H31" s="8" t="inlineStr">
        <is>
          <t>LIVE malam ini jam 8. Nyalakan pengingat + cek keranjang kuning.</t>
        </is>
      </c>
      <c r="I31" s="8" t="inlineStr">
        <is>
          <t>Musik hype tapi classy</t>
        </is>
      </c>
      <c r="J31" s="8" t="inlineStr">
        <is>
          <t>#ToniBlack #CelanaDalamPria #UnderwearPria #Gajian #TikTokShop #LiveShopping</t>
        </is>
      </c>
      <c r="K31" s="8" t="inlineStr">
        <is>
          <t>Cuplikan konten lama, gift box, host live</t>
        </is>
      </c>
      <c r="L31" s="20" t="inlineStr"/>
      <c r="M31" s="20" t="inlineStr">
        <is>
          <t>Ide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36"/>
  <sheetViews>
    <sheetView workbookViewId="0">
      <pane xSplit="2" ySplit="1" topLeftCell="C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3" customWidth="1" min="1" max="1"/>
    <col width="36" customWidth="1" min="2" max="2"/>
    <col width="24" customWidth="1" min="3" max="3"/>
    <col width="30" customWidth="1" min="4" max="4"/>
    <col width="10" customWidth="1" min="5" max="5"/>
    <col width="9" customWidth="1" min="6" max="6"/>
    <col width="11" customWidth="1" min="7" max="7"/>
    <col width="9" customWidth="1" min="8" max="8"/>
    <col width="9" customWidth="1" min="9" max="9"/>
    <col width="12" customWidth="1" min="10" max="10"/>
    <col width="12" customWidth="1" min="11" max="11"/>
    <col width="12" customWidth="1" min="12" max="12"/>
    <col width="13" customWidth="1" min="13" max="13"/>
    <col width="12" customWidth="1" min="14" max="14"/>
  </cols>
  <sheetData>
    <row r="1">
      <c r="A1" s="6" t="inlineStr">
        <is>
          <t>Tanggal Post</t>
        </is>
      </c>
      <c r="B1" s="6" t="inlineStr">
        <is>
          <t>Judul Konten</t>
        </is>
      </c>
      <c r="C1" s="6" t="inlineStr">
        <is>
          <t>Pillar</t>
        </is>
      </c>
      <c r="D1" s="6" t="inlineStr">
        <is>
          <t>Link Video</t>
        </is>
      </c>
      <c r="E1" s="6" t="inlineStr">
        <is>
          <t>Views</t>
        </is>
      </c>
      <c r="F1" s="6" t="inlineStr">
        <is>
          <t>Likes</t>
        </is>
      </c>
      <c r="G1" s="6" t="inlineStr">
        <is>
          <t>Comments</t>
        </is>
      </c>
      <c r="H1" s="6" t="inlineStr">
        <is>
          <t>Shares</t>
        </is>
      </c>
      <c r="I1" s="6" t="inlineStr">
        <is>
          <t>Saves</t>
        </is>
      </c>
      <c r="J1" s="6" t="inlineStr">
        <is>
          <t>Follower Baru</t>
        </is>
      </c>
      <c r="K1" s="6" t="inlineStr">
        <is>
          <t>Klik Keranjang</t>
        </is>
      </c>
      <c r="L1" s="6" t="inlineStr">
        <is>
          <t>GMV (Rp)</t>
        </is>
      </c>
      <c r="M1" s="6" t="inlineStr">
        <is>
          <t>Engagement Rate</t>
        </is>
      </c>
      <c r="N1" s="6" t="inlineStr">
        <is>
          <t>CTR Keranjang</t>
        </is>
      </c>
    </row>
    <row r="2">
      <c r="A2" s="43" t="n">
        <v>46230</v>
      </c>
      <c r="B2" s="26" t="inlineStr">
        <is>
          <t>CONTOH: Kenapa kami berani jual CD 100 ribu</t>
        </is>
      </c>
      <c r="C2" s="26" t="inlineStr">
        <is>
          <t>P4 - Brand Story &amp; BTS</t>
        </is>
      </c>
      <c r="D2" s="26" t="inlineStr">
        <is>
          <t>https://www.tiktok.com/@toniblack/video/xxxx</t>
        </is>
      </c>
      <c r="E2" s="26" t="n">
        <v>12500</v>
      </c>
      <c r="F2" s="26" t="n">
        <v>830</v>
      </c>
      <c r="G2" s="26" t="n">
        <v>96</v>
      </c>
      <c r="H2" s="26" t="n">
        <v>41</v>
      </c>
      <c r="I2" s="26" t="n">
        <v>210</v>
      </c>
      <c r="J2" s="26" t="n">
        <v>85</v>
      </c>
      <c r="K2" s="26" t="n">
        <v>180</v>
      </c>
      <c r="L2" s="27" t="n">
        <v>1250000</v>
      </c>
      <c r="M2" s="44">
        <f>IF(OR(E2="",E2=0),"",(F2+G2+H2+I2)/E2)</f>
        <v/>
      </c>
      <c r="N2" s="29">
        <f>IF(OR(E2="",E2=0),"",K2/E2)</f>
        <v/>
      </c>
    </row>
    <row r="3">
      <c r="A3" s="45" t="n"/>
      <c r="B3" s="31" t="n"/>
      <c r="C3" s="31" t="n"/>
      <c r="D3" s="31" t="n"/>
      <c r="E3" s="31" t="n"/>
      <c r="F3" s="31" t="n"/>
      <c r="G3" s="31" t="n"/>
      <c r="H3" s="31" t="n"/>
      <c r="I3" s="31" t="n"/>
      <c r="J3" s="31" t="n"/>
      <c r="K3" s="31" t="n"/>
      <c r="L3" s="32" t="n"/>
      <c r="M3" s="44">
        <f>IF(OR(E3="",E3=0),"",(F3+G3+H3+I3)/E3)</f>
        <v/>
      </c>
      <c r="N3" s="29">
        <f>IF(OR(E3="",E3=0),"",K3/E3)</f>
        <v/>
      </c>
    </row>
    <row r="4">
      <c r="A4" s="45" t="n"/>
      <c r="B4" s="31" t="n"/>
      <c r="C4" s="31" t="n"/>
      <c r="D4" s="31" t="n"/>
      <c r="E4" s="31" t="n"/>
      <c r="F4" s="31" t="n"/>
      <c r="G4" s="31" t="n"/>
      <c r="H4" s="31" t="n"/>
      <c r="I4" s="31" t="n"/>
      <c r="J4" s="31" t="n"/>
      <c r="K4" s="31" t="n"/>
      <c r="L4" s="32" t="n"/>
      <c r="M4" s="44">
        <f>IF(OR(E4="",E4=0),"",(F4+G4+H4+I4)/E4)</f>
        <v/>
      </c>
      <c r="N4" s="29">
        <f>IF(OR(E4="",E4=0),"",K4/E4)</f>
        <v/>
      </c>
    </row>
    <row r="5">
      <c r="A5" s="45" t="n"/>
      <c r="B5" s="31" t="n"/>
      <c r="C5" s="31" t="n"/>
      <c r="D5" s="31" t="n"/>
      <c r="E5" s="31" t="n"/>
      <c r="F5" s="31" t="n"/>
      <c r="G5" s="31" t="n"/>
      <c r="H5" s="31" t="n"/>
      <c r="I5" s="31" t="n"/>
      <c r="J5" s="31" t="n"/>
      <c r="K5" s="31" t="n"/>
      <c r="L5" s="32" t="n"/>
      <c r="M5" s="44">
        <f>IF(OR(E5="",E5=0),"",(F5+G5+H5+I5)/E5)</f>
        <v/>
      </c>
      <c r="N5" s="29">
        <f>IF(OR(E5="",E5=0),"",K5/E5)</f>
        <v/>
      </c>
    </row>
    <row r="6">
      <c r="A6" s="45" t="n"/>
      <c r="B6" s="31" t="n"/>
      <c r="C6" s="31" t="n"/>
      <c r="D6" s="31" t="n"/>
      <c r="E6" s="31" t="n"/>
      <c r="F6" s="31" t="n"/>
      <c r="G6" s="31" t="n"/>
      <c r="H6" s="31" t="n"/>
      <c r="I6" s="31" t="n"/>
      <c r="J6" s="31" t="n"/>
      <c r="K6" s="31" t="n"/>
      <c r="L6" s="32" t="n"/>
      <c r="M6" s="44">
        <f>IF(OR(E6="",E6=0),"",(F6+G6+H6+I6)/E6)</f>
        <v/>
      </c>
      <c r="N6" s="29">
        <f>IF(OR(E6="",E6=0),"",K6/E6)</f>
        <v/>
      </c>
    </row>
    <row r="7">
      <c r="A7" s="45" t="n"/>
      <c r="B7" s="31" t="n"/>
      <c r="C7" s="31" t="n"/>
      <c r="D7" s="31" t="n"/>
      <c r="E7" s="31" t="n"/>
      <c r="F7" s="31" t="n"/>
      <c r="G7" s="31" t="n"/>
      <c r="H7" s="31" t="n"/>
      <c r="I7" s="31" t="n"/>
      <c r="J7" s="31" t="n"/>
      <c r="K7" s="31" t="n"/>
      <c r="L7" s="32" t="n"/>
      <c r="M7" s="44">
        <f>IF(OR(E7="",E7=0),"",(F7+G7+H7+I7)/E7)</f>
        <v/>
      </c>
      <c r="N7" s="29">
        <f>IF(OR(E7="",E7=0),"",K7/E7)</f>
        <v/>
      </c>
    </row>
    <row r="8">
      <c r="A8" s="45" t="n"/>
      <c r="B8" s="31" t="n"/>
      <c r="C8" s="31" t="n"/>
      <c r="D8" s="31" t="n"/>
      <c r="E8" s="31" t="n"/>
      <c r="F8" s="31" t="n"/>
      <c r="G8" s="31" t="n"/>
      <c r="H8" s="31" t="n"/>
      <c r="I8" s="31" t="n"/>
      <c r="J8" s="31" t="n"/>
      <c r="K8" s="31" t="n"/>
      <c r="L8" s="32" t="n"/>
      <c r="M8" s="44">
        <f>IF(OR(E8="",E8=0),"",(F8+G8+H8+I8)/E8)</f>
        <v/>
      </c>
      <c r="N8" s="29">
        <f>IF(OR(E8="",E8=0),"",K8/E8)</f>
        <v/>
      </c>
    </row>
    <row r="9">
      <c r="A9" s="45" t="n"/>
      <c r="B9" s="31" t="n"/>
      <c r="C9" s="31" t="n"/>
      <c r="D9" s="31" t="n"/>
      <c r="E9" s="31" t="n"/>
      <c r="F9" s="31" t="n"/>
      <c r="G9" s="31" t="n"/>
      <c r="H9" s="31" t="n"/>
      <c r="I9" s="31" t="n"/>
      <c r="J9" s="31" t="n"/>
      <c r="K9" s="31" t="n"/>
      <c r="L9" s="32" t="n"/>
      <c r="M9" s="44">
        <f>IF(OR(E9="",E9=0),"",(F9+G9+H9+I9)/E9)</f>
        <v/>
      </c>
      <c r="N9" s="29">
        <f>IF(OR(E9="",E9=0),"",K9/E9)</f>
        <v/>
      </c>
    </row>
    <row r="10">
      <c r="A10" s="45" t="n"/>
      <c r="B10" s="31" t="n"/>
      <c r="C10" s="31" t="n"/>
      <c r="D10" s="31" t="n"/>
      <c r="E10" s="31" t="n"/>
      <c r="F10" s="31" t="n"/>
      <c r="G10" s="31" t="n"/>
      <c r="H10" s="31" t="n"/>
      <c r="I10" s="31" t="n"/>
      <c r="J10" s="31" t="n"/>
      <c r="K10" s="31" t="n"/>
      <c r="L10" s="32" t="n"/>
      <c r="M10" s="44">
        <f>IF(OR(E10="",E10=0),"",(F10+G10+H10+I10)/E10)</f>
        <v/>
      </c>
      <c r="N10" s="29">
        <f>IF(OR(E10="",E10=0),"",K10/E10)</f>
        <v/>
      </c>
    </row>
    <row r="11">
      <c r="A11" s="45" t="n"/>
      <c r="B11" s="31" t="n"/>
      <c r="C11" s="31" t="n"/>
      <c r="D11" s="31" t="n"/>
      <c r="E11" s="31" t="n"/>
      <c r="F11" s="31" t="n"/>
      <c r="G11" s="31" t="n"/>
      <c r="H11" s="31" t="n"/>
      <c r="I11" s="31" t="n"/>
      <c r="J11" s="31" t="n"/>
      <c r="K11" s="31" t="n"/>
      <c r="L11" s="32" t="n"/>
      <c r="M11" s="44">
        <f>IF(OR(E11="",E11=0),"",(F11+G11+H11+I11)/E11)</f>
        <v/>
      </c>
      <c r="N11" s="29">
        <f>IF(OR(E11="",E11=0),"",K11/E11)</f>
        <v/>
      </c>
    </row>
    <row r="12">
      <c r="A12" s="45" t="n"/>
      <c r="B12" s="31" t="n"/>
      <c r="C12" s="31" t="n"/>
      <c r="D12" s="31" t="n"/>
      <c r="E12" s="31" t="n"/>
      <c r="F12" s="31" t="n"/>
      <c r="G12" s="31" t="n"/>
      <c r="H12" s="31" t="n"/>
      <c r="I12" s="31" t="n"/>
      <c r="J12" s="31" t="n"/>
      <c r="K12" s="31" t="n"/>
      <c r="L12" s="32" t="n"/>
      <c r="M12" s="44">
        <f>IF(OR(E12="",E12=0),"",(F12+G12+H12+I12)/E12)</f>
        <v/>
      </c>
      <c r="N12" s="29">
        <f>IF(OR(E12="",E12=0),"",K12/E12)</f>
        <v/>
      </c>
    </row>
    <row r="13">
      <c r="A13" s="45" t="n"/>
      <c r="B13" s="31" t="n"/>
      <c r="C13" s="31" t="n"/>
      <c r="D13" s="31" t="n"/>
      <c r="E13" s="31" t="n"/>
      <c r="F13" s="31" t="n"/>
      <c r="G13" s="31" t="n"/>
      <c r="H13" s="31" t="n"/>
      <c r="I13" s="31" t="n"/>
      <c r="J13" s="31" t="n"/>
      <c r="K13" s="31" t="n"/>
      <c r="L13" s="32" t="n"/>
      <c r="M13" s="44">
        <f>IF(OR(E13="",E13=0),"",(F13+G13+H13+I13)/E13)</f>
        <v/>
      </c>
      <c r="N13" s="29">
        <f>IF(OR(E13="",E13=0),"",K13/E13)</f>
        <v/>
      </c>
    </row>
    <row r="14">
      <c r="A14" s="45" t="n"/>
      <c r="B14" s="31" t="n"/>
      <c r="C14" s="31" t="n"/>
      <c r="D14" s="31" t="n"/>
      <c r="E14" s="31" t="n"/>
      <c r="F14" s="31" t="n"/>
      <c r="G14" s="31" t="n"/>
      <c r="H14" s="31" t="n"/>
      <c r="I14" s="31" t="n"/>
      <c r="J14" s="31" t="n"/>
      <c r="K14" s="31" t="n"/>
      <c r="L14" s="32" t="n"/>
      <c r="M14" s="44">
        <f>IF(OR(E14="",E14=0),"",(F14+G14+H14+I14)/E14)</f>
        <v/>
      </c>
      <c r="N14" s="29">
        <f>IF(OR(E14="",E14=0),"",K14/E14)</f>
        <v/>
      </c>
    </row>
    <row r="15">
      <c r="A15" s="45" t="n"/>
      <c r="B15" s="31" t="n"/>
      <c r="C15" s="31" t="n"/>
      <c r="D15" s="31" t="n"/>
      <c r="E15" s="31" t="n"/>
      <c r="F15" s="31" t="n"/>
      <c r="G15" s="31" t="n"/>
      <c r="H15" s="31" t="n"/>
      <c r="I15" s="31" t="n"/>
      <c r="J15" s="31" t="n"/>
      <c r="K15" s="31" t="n"/>
      <c r="L15" s="32" t="n"/>
      <c r="M15" s="44">
        <f>IF(OR(E15="",E15=0),"",(F15+G15+H15+I15)/E15)</f>
        <v/>
      </c>
      <c r="N15" s="29">
        <f>IF(OR(E15="",E15=0),"",K15/E15)</f>
        <v/>
      </c>
    </row>
    <row r="16">
      <c r="A16" s="45" t="n"/>
      <c r="B16" s="31" t="n"/>
      <c r="C16" s="31" t="n"/>
      <c r="D16" s="31" t="n"/>
      <c r="E16" s="31" t="n"/>
      <c r="F16" s="31" t="n"/>
      <c r="G16" s="31" t="n"/>
      <c r="H16" s="31" t="n"/>
      <c r="I16" s="31" t="n"/>
      <c r="J16" s="31" t="n"/>
      <c r="K16" s="31" t="n"/>
      <c r="L16" s="32" t="n"/>
      <c r="M16" s="44">
        <f>IF(OR(E16="",E16=0),"",(F16+G16+H16+I16)/E16)</f>
        <v/>
      </c>
      <c r="N16" s="29">
        <f>IF(OR(E16="",E16=0),"",K16/E16)</f>
        <v/>
      </c>
    </row>
    <row r="17">
      <c r="A17" s="45" t="n"/>
      <c r="B17" s="31" t="n"/>
      <c r="C17" s="31" t="n"/>
      <c r="D17" s="31" t="n"/>
      <c r="E17" s="31" t="n"/>
      <c r="F17" s="31" t="n"/>
      <c r="G17" s="31" t="n"/>
      <c r="H17" s="31" t="n"/>
      <c r="I17" s="31" t="n"/>
      <c r="J17" s="31" t="n"/>
      <c r="K17" s="31" t="n"/>
      <c r="L17" s="32" t="n"/>
      <c r="M17" s="44">
        <f>IF(OR(E17="",E17=0),"",(F17+G17+H17+I17)/E17)</f>
        <v/>
      </c>
      <c r="N17" s="29">
        <f>IF(OR(E17="",E17=0),"",K17/E17)</f>
        <v/>
      </c>
    </row>
    <row r="18">
      <c r="A18" s="45" t="n"/>
      <c r="B18" s="31" t="n"/>
      <c r="C18" s="31" t="n"/>
      <c r="D18" s="31" t="n"/>
      <c r="E18" s="31" t="n"/>
      <c r="F18" s="31" t="n"/>
      <c r="G18" s="31" t="n"/>
      <c r="H18" s="31" t="n"/>
      <c r="I18" s="31" t="n"/>
      <c r="J18" s="31" t="n"/>
      <c r="K18" s="31" t="n"/>
      <c r="L18" s="32" t="n"/>
      <c r="M18" s="44">
        <f>IF(OR(E18="",E18=0),"",(F18+G18+H18+I18)/E18)</f>
        <v/>
      </c>
      <c r="N18" s="29">
        <f>IF(OR(E18="",E18=0),"",K18/E18)</f>
        <v/>
      </c>
    </row>
    <row r="19">
      <c r="A19" s="45" t="n"/>
      <c r="B19" s="31" t="n"/>
      <c r="C19" s="31" t="n"/>
      <c r="D19" s="31" t="n"/>
      <c r="E19" s="31" t="n"/>
      <c r="F19" s="31" t="n"/>
      <c r="G19" s="31" t="n"/>
      <c r="H19" s="31" t="n"/>
      <c r="I19" s="31" t="n"/>
      <c r="J19" s="31" t="n"/>
      <c r="K19" s="31" t="n"/>
      <c r="L19" s="32" t="n"/>
      <c r="M19" s="44">
        <f>IF(OR(E19="",E19=0),"",(F19+G19+H19+I19)/E19)</f>
        <v/>
      </c>
      <c r="N19" s="29">
        <f>IF(OR(E19="",E19=0),"",K19/E19)</f>
        <v/>
      </c>
    </row>
    <row r="20">
      <c r="A20" s="45" t="n"/>
      <c r="B20" s="31" t="n"/>
      <c r="C20" s="31" t="n"/>
      <c r="D20" s="31" t="n"/>
      <c r="E20" s="31" t="n"/>
      <c r="F20" s="31" t="n"/>
      <c r="G20" s="31" t="n"/>
      <c r="H20" s="31" t="n"/>
      <c r="I20" s="31" t="n"/>
      <c r="J20" s="31" t="n"/>
      <c r="K20" s="31" t="n"/>
      <c r="L20" s="32" t="n"/>
      <c r="M20" s="44">
        <f>IF(OR(E20="",E20=0),"",(F20+G20+H20+I20)/E20)</f>
        <v/>
      </c>
      <c r="N20" s="29">
        <f>IF(OR(E20="",E20=0),"",K20/E20)</f>
        <v/>
      </c>
    </row>
    <row r="21">
      <c r="A21" s="45" t="n"/>
      <c r="B21" s="31" t="n"/>
      <c r="C21" s="31" t="n"/>
      <c r="D21" s="31" t="n"/>
      <c r="E21" s="31" t="n"/>
      <c r="F21" s="31" t="n"/>
      <c r="G21" s="31" t="n"/>
      <c r="H21" s="31" t="n"/>
      <c r="I21" s="31" t="n"/>
      <c r="J21" s="31" t="n"/>
      <c r="K21" s="31" t="n"/>
      <c r="L21" s="32" t="n"/>
      <c r="M21" s="44">
        <f>IF(OR(E21="",E21=0),"",(F21+G21+H21+I21)/E21)</f>
        <v/>
      </c>
      <c r="N21" s="29">
        <f>IF(OR(E21="",E21=0),"",K21/E21)</f>
        <v/>
      </c>
    </row>
    <row r="22">
      <c r="A22" s="45" t="n"/>
      <c r="B22" s="31" t="n"/>
      <c r="C22" s="31" t="n"/>
      <c r="D22" s="31" t="n"/>
      <c r="E22" s="31" t="n"/>
      <c r="F22" s="31" t="n"/>
      <c r="G22" s="31" t="n"/>
      <c r="H22" s="31" t="n"/>
      <c r="I22" s="31" t="n"/>
      <c r="J22" s="31" t="n"/>
      <c r="K22" s="31" t="n"/>
      <c r="L22" s="32" t="n"/>
      <c r="M22" s="44">
        <f>IF(OR(E22="",E22=0),"",(F22+G22+H22+I22)/E22)</f>
        <v/>
      </c>
      <c r="N22" s="29">
        <f>IF(OR(E22="",E22=0),"",K22/E22)</f>
        <v/>
      </c>
    </row>
    <row r="23">
      <c r="A23" s="45" t="n"/>
      <c r="B23" s="31" t="n"/>
      <c r="C23" s="31" t="n"/>
      <c r="D23" s="31" t="n"/>
      <c r="E23" s="31" t="n"/>
      <c r="F23" s="31" t="n"/>
      <c r="G23" s="31" t="n"/>
      <c r="H23" s="31" t="n"/>
      <c r="I23" s="31" t="n"/>
      <c r="J23" s="31" t="n"/>
      <c r="K23" s="31" t="n"/>
      <c r="L23" s="32" t="n"/>
      <c r="M23" s="44">
        <f>IF(OR(E23="",E23=0),"",(F23+G23+H23+I23)/E23)</f>
        <v/>
      </c>
      <c r="N23" s="29">
        <f>IF(OR(E23="",E23=0),"",K23/E23)</f>
        <v/>
      </c>
    </row>
    <row r="24">
      <c r="A24" s="45" t="n"/>
      <c r="B24" s="31" t="n"/>
      <c r="C24" s="31" t="n"/>
      <c r="D24" s="31" t="n"/>
      <c r="E24" s="31" t="n"/>
      <c r="F24" s="31" t="n"/>
      <c r="G24" s="31" t="n"/>
      <c r="H24" s="31" t="n"/>
      <c r="I24" s="31" t="n"/>
      <c r="J24" s="31" t="n"/>
      <c r="K24" s="31" t="n"/>
      <c r="L24" s="32" t="n"/>
      <c r="M24" s="44">
        <f>IF(OR(E24="",E24=0),"",(F24+G24+H24+I24)/E24)</f>
        <v/>
      </c>
      <c r="N24" s="29">
        <f>IF(OR(E24="",E24=0),"",K24/E24)</f>
        <v/>
      </c>
    </row>
    <row r="25">
      <c r="A25" s="45" t="n"/>
      <c r="B25" s="31" t="n"/>
      <c r="C25" s="31" t="n"/>
      <c r="D25" s="31" t="n"/>
      <c r="E25" s="31" t="n"/>
      <c r="F25" s="31" t="n"/>
      <c r="G25" s="31" t="n"/>
      <c r="H25" s="31" t="n"/>
      <c r="I25" s="31" t="n"/>
      <c r="J25" s="31" t="n"/>
      <c r="K25" s="31" t="n"/>
      <c r="L25" s="32" t="n"/>
      <c r="M25" s="44">
        <f>IF(OR(E25="",E25=0),"",(F25+G25+H25+I25)/E25)</f>
        <v/>
      </c>
      <c r="N25" s="29">
        <f>IF(OR(E25="",E25=0),"",K25/E25)</f>
        <v/>
      </c>
    </row>
    <row r="26">
      <c r="A26" s="45" t="n"/>
      <c r="B26" s="31" t="n"/>
      <c r="C26" s="31" t="n"/>
      <c r="D26" s="31" t="n"/>
      <c r="E26" s="31" t="n"/>
      <c r="F26" s="31" t="n"/>
      <c r="G26" s="31" t="n"/>
      <c r="H26" s="31" t="n"/>
      <c r="I26" s="31" t="n"/>
      <c r="J26" s="31" t="n"/>
      <c r="K26" s="31" t="n"/>
      <c r="L26" s="32" t="n"/>
      <c r="M26" s="44">
        <f>IF(OR(E26="",E26=0),"",(F26+G26+H26+I26)/E26)</f>
        <v/>
      </c>
      <c r="N26" s="29">
        <f>IF(OR(E26="",E26=0),"",K26/E26)</f>
        <v/>
      </c>
    </row>
    <row r="27">
      <c r="A27" s="45" t="n"/>
      <c r="B27" s="31" t="n"/>
      <c r="C27" s="31" t="n"/>
      <c r="D27" s="31" t="n"/>
      <c r="E27" s="31" t="n"/>
      <c r="F27" s="31" t="n"/>
      <c r="G27" s="31" t="n"/>
      <c r="H27" s="31" t="n"/>
      <c r="I27" s="31" t="n"/>
      <c r="J27" s="31" t="n"/>
      <c r="K27" s="31" t="n"/>
      <c r="L27" s="32" t="n"/>
      <c r="M27" s="44">
        <f>IF(OR(E27="",E27=0),"",(F27+G27+H27+I27)/E27)</f>
        <v/>
      </c>
      <c r="N27" s="29">
        <f>IF(OR(E27="",E27=0),"",K27/E27)</f>
        <v/>
      </c>
    </row>
    <row r="28">
      <c r="A28" s="45" t="n"/>
      <c r="B28" s="31" t="n"/>
      <c r="C28" s="31" t="n"/>
      <c r="D28" s="31" t="n"/>
      <c r="E28" s="31" t="n"/>
      <c r="F28" s="31" t="n"/>
      <c r="G28" s="31" t="n"/>
      <c r="H28" s="31" t="n"/>
      <c r="I28" s="31" t="n"/>
      <c r="J28" s="31" t="n"/>
      <c r="K28" s="31" t="n"/>
      <c r="L28" s="32" t="n"/>
      <c r="M28" s="44">
        <f>IF(OR(E28="",E28=0),"",(F28+G28+H28+I28)/E28)</f>
        <v/>
      </c>
      <c r="N28" s="29">
        <f>IF(OR(E28="",E28=0),"",K28/E28)</f>
        <v/>
      </c>
    </row>
    <row r="29">
      <c r="A29" s="45" t="n"/>
      <c r="B29" s="31" t="n"/>
      <c r="C29" s="31" t="n"/>
      <c r="D29" s="31" t="n"/>
      <c r="E29" s="31" t="n"/>
      <c r="F29" s="31" t="n"/>
      <c r="G29" s="31" t="n"/>
      <c r="H29" s="31" t="n"/>
      <c r="I29" s="31" t="n"/>
      <c r="J29" s="31" t="n"/>
      <c r="K29" s="31" t="n"/>
      <c r="L29" s="32" t="n"/>
      <c r="M29" s="44">
        <f>IF(OR(E29="",E29=0),"",(F29+G29+H29+I29)/E29)</f>
        <v/>
      </c>
      <c r="N29" s="29">
        <f>IF(OR(E29="",E29=0),"",K29/E29)</f>
        <v/>
      </c>
    </row>
    <row r="30">
      <c r="A30" s="45" t="n"/>
      <c r="B30" s="31" t="n"/>
      <c r="C30" s="31" t="n"/>
      <c r="D30" s="31" t="n"/>
      <c r="E30" s="31" t="n"/>
      <c r="F30" s="31" t="n"/>
      <c r="G30" s="31" t="n"/>
      <c r="H30" s="31" t="n"/>
      <c r="I30" s="31" t="n"/>
      <c r="J30" s="31" t="n"/>
      <c r="K30" s="31" t="n"/>
      <c r="L30" s="32" t="n"/>
      <c r="M30" s="44">
        <f>IF(OR(E30="",E30=0),"",(F30+G30+H30+I30)/E30)</f>
        <v/>
      </c>
      <c r="N30" s="29">
        <f>IF(OR(E30="",E30=0),"",K30/E30)</f>
        <v/>
      </c>
    </row>
    <row r="31">
      <c r="A31" s="45" t="n"/>
      <c r="B31" s="31" t="n"/>
      <c r="C31" s="31" t="n"/>
      <c r="D31" s="31" t="n"/>
      <c r="E31" s="31" t="n"/>
      <c r="F31" s="31" t="n"/>
      <c r="G31" s="31" t="n"/>
      <c r="H31" s="31" t="n"/>
      <c r="I31" s="31" t="n"/>
      <c r="J31" s="31" t="n"/>
      <c r="K31" s="31" t="n"/>
      <c r="L31" s="32" t="n"/>
      <c r="M31" s="44">
        <f>IF(OR(E31="",E31=0),"",(F31+G31+H31+I31)/E31)</f>
        <v/>
      </c>
      <c r="N31" s="29">
        <f>IF(OR(E31="",E31=0),"",K31/E31)</f>
        <v/>
      </c>
    </row>
    <row r="32">
      <c r="A32" s="45" t="n"/>
      <c r="B32" s="31" t="n"/>
      <c r="C32" s="31" t="n"/>
      <c r="D32" s="31" t="n"/>
      <c r="E32" s="31" t="n"/>
      <c r="F32" s="31" t="n"/>
      <c r="G32" s="31" t="n"/>
      <c r="H32" s="31" t="n"/>
      <c r="I32" s="31" t="n"/>
      <c r="J32" s="31" t="n"/>
      <c r="K32" s="31" t="n"/>
      <c r="L32" s="32" t="n"/>
      <c r="M32" s="44">
        <f>IF(OR(E32="",E32=0),"",(F32+G32+H32+I32)/E32)</f>
        <v/>
      </c>
      <c r="N32" s="29">
        <f>IF(OR(E32="",E32=0),"",K32/E32)</f>
        <v/>
      </c>
    </row>
    <row r="34">
      <c r="B34" s="33" t="inlineStr">
        <is>
          <t>TOTAL / RATA-RATA</t>
        </is>
      </c>
      <c r="C34" s="34" t="n"/>
      <c r="D34" s="34" t="n"/>
      <c r="E34" s="33">
        <f>SUM(E2:E32)</f>
        <v/>
      </c>
      <c r="F34" s="33">
        <f>SUM(F2:F32)</f>
        <v/>
      </c>
      <c r="G34" s="33">
        <f>SUM(G2:G32)</f>
        <v/>
      </c>
      <c r="H34" s="33">
        <f>SUM(H2:H32)</f>
        <v/>
      </c>
      <c r="I34" s="33">
        <f>SUM(I2:I32)</f>
        <v/>
      </c>
      <c r="J34" s="33">
        <f>SUM(J2:J32)</f>
        <v/>
      </c>
      <c r="K34" s="33">
        <f>SUM(K2:K32)</f>
        <v/>
      </c>
      <c r="L34" s="35">
        <f>SUM(L2:L32)</f>
        <v/>
      </c>
      <c r="M34" s="46">
        <f>IF(SUM(E2:E32)=0,"",SUM(F2:I32)/SUM(E2:E32))</f>
        <v/>
      </c>
      <c r="N34" s="37">
        <f>IF(SUM(E2:E32)=0,"",SUM(K2:K32)/SUM(E2:E32))</f>
        <v/>
      </c>
    </row>
    <row r="36">
      <c r="A36" s="38" t="inlineStr">
        <is>
          <t>Catatan: baris 2 adalah CONTOH pengisian (teks biru) — hapus/timpa dengan data asli. Isi sel kuning tiap H+3 dan H+7 setelah posting. Kolom Engagement Rate &amp; CTR terhitung otomatis. Target: ER &gt;5%, CTR keranjang &gt;1%.</t>
        </is>
      </c>
    </row>
  </sheetData>
  <mergeCells count="1">
    <mergeCell ref="A36:N3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2026-07-20T08:16:11Z</dcterms:created>
  <dcterms:modified xsi:type="dcterms:W3CDTF">2026-07-20T08:47:41Z</dcterms:modified>
</cp:coreProperties>
</file>