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eferensi" sheetId="2" state="visible" r:id="rId4"/>
    <sheet name="Daftar Affiliate" sheetId="3" state="visible" r:id="rId5"/>
    <sheet name="Rekap Bulanan" sheetId="4" state="visible" r:id="rId6"/>
  </sheets>
  <definedNames>
    <definedName function="false" hidden="true" localSheetId="2" name="_xlnm._FilterDatabase" vbProcedure="false">'Daftar Affiliate'!$A$4:$W$105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<sst xmlns="http://schemas.openxmlformats.org/spreadsheetml/2006/main" count="171" uniqueCount="128">
  <si>
    <t xml:space="preserve">TONI BLACK — AFFILIATE DASHBOARD</t>
  </si>
  <si>
    <t xml:space="preserve">Seluruh angka di sheet ini rumus. Tidak ada yang perlu diketik.</t>
  </si>
  <si>
    <t xml:space="preserve">RINGKASAN</t>
  </si>
  <si>
    <t xml:space="preserve">Jumlah Affiliate</t>
  </si>
  <si>
    <t xml:space="preserve">Affiliate Aktif</t>
  </si>
  <si>
    <t xml:space="preserve">Total Followers</t>
  </si>
  <si>
    <t xml:space="preserve">Total GMV per Bulan</t>
  </si>
  <si>
    <t xml:space="preserve">Total Biaya Komisi</t>
  </si>
  <si>
    <t xml:space="preserve">GMV Bersih per Bulan</t>
  </si>
  <si>
    <t xml:space="preserve">Rata-rata GMV per Affiliate</t>
  </si>
  <si>
    <t xml:space="preserve">GMV per 1.000 Followers (keseluruhan)</t>
  </si>
  <si>
    <t xml:space="preserve">Komisi Efektif</t>
  </si>
  <si>
    <t xml:space="preserve">PER TIER</t>
  </si>
  <si>
    <t xml:space="preserve">Tier</t>
  </si>
  <si>
    <t xml:space="preserve">Jumlah</t>
  </si>
  <si>
    <t xml:space="preserve">Total GMV</t>
  </si>
  <si>
    <t xml:space="preserve">GMV per 1.000 Followers</t>
  </si>
  <si>
    <t xml:space="preserve">Kontribusi GMV</t>
  </si>
  <si>
    <t xml:space="preserve">Nano</t>
  </si>
  <si>
    <t xml:space="preserve">Micro</t>
  </si>
  <si>
    <t xml:space="preserve">Mid</t>
  </si>
  <si>
    <t xml:space="preserve">Macro</t>
  </si>
  <si>
    <t xml:space="preserve">Mega</t>
  </si>
  <si>
    <t xml:space="preserve">PER PLATFORM</t>
  </si>
  <si>
    <t xml:space="preserve">Platform</t>
  </si>
  <si>
    <t xml:space="preserve">TikTok</t>
  </si>
  <si>
    <t xml:space="preserve">TikTok Shop</t>
  </si>
  <si>
    <t xml:space="preserve">Instagram</t>
  </si>
  <si>
    <t xml:space="preserve">Shopee Live</t>
  </si>
  <si>
    <t xml:space="preserve">YouTube</t>
  </si>
  <si>
    <t xml:space="preserve">5 TERATAS — GMV PER BULAN</t>
  </si>
  <si>
    <t xml:space="preserve">Siapa yang menghasilkan paling banyak.</t>
  </si>
  <si>
    <t xml:space="preserve">#</t>
  </si>
  <si>
    <t xml:space="preserve">Nama Affiliate</t>
  </si>
  <si>
    <t xml:space="preserve">GMV per Bulan</t>
  </si>
  <si>
    <t xml:space="preserve">5 TERATAS — GMV PER 1.000 FOLLOWERS</t>
  </si>
  <si>
    <t xml:space="preserve">Siapa yang menjual paling efektif untuk ukurannya. Ini yang biasanya berbeda dari daftar di atas.</t>
  </si>
  <si>
    <t xml:space="preserve">Semua angka menarik dari sheet Daftar Affiliate baris 6 sampai 105.</t>
  </si>
  <si>
    <t xml:space="preserve">REFERENSI</t>
  </si>
  <si>
    <t xml:space="preserve">Ubah angka di sini kalau definisinya berubah. Semua sheet lain mengikuti.</t>
  </si>
  <si>
    <t xml:space="preserve">TIER BERDASARKAN FOLLOWERS</t>
  </si>
  <si>
    <t xml:space="preserve">PLATFORM</t>
  </si>
  <si>
    <t xml:space="preserve">STATUS</t>
  </si>
  <si>
    <t xml:space="preserve">Batas Bawah Followers</t>
  </si>
  <si>
    <t xml:space="preserve">Aktif</t>
  </si>
  <si>
    <t xml:space="preserve">Baru</t>
  </si>
  <si>
    <t xml:space="preserve">Pantau</t>
  </si>
  <si>
    <t xml:space="preserve">Berhenti</t>
  </si>
  <si>
    <t xml:space="preserve">Ambang ini standar industri KOL, bukan angka Toni Black. Ganti kalau perlu.</t>
  </si>
  <si>
    <t xml:space="preserve">ARTI WARNA</t>
  </si>
  <si>
    <t xml:space="preserve">Teks biru, latar krem</t>
  </si>
  <si>
    <t xml:space="preserve">Kolom isian. Hanya ini yang Anda ketik.</t>
  </si>
  <si>
    <t xml:space="preserve">Teks hitam, latar abu</t>
  </si>
  <si>
    <t xml:space="preserve">Kolom rumus. Jangan diketik, nanti rumusnya hilang.</t>
  </si>
  <si>
    <t xml:space="preserve">Latar abu tua</t>
  </si>
  <si>
    <t xml:space="preserve">Kolom bantu untuk Dashboard. Boleh disembunyikan.</t>
  </si>
  <si>
    <t xml:space="preserve">CARA PAKAI</t>
  </si>
  <si>
    <t xml:space="preserve">1. Isi Daftar Affiliate. Kolom wajib: Nama, Platform, Followers, Sales per Bulan.</t>
  </si>
  <si>
    <t xml:space="preserve">2. Tier, komisi, GMV bersih, dan semua metrik efisiensi terisi sendiri.</t>
  </si>
  <si>
    <t xml:space="preserve">3. Catat GMV tiap bulan di sheet Rekap Bulanan untuk melihat trennya.</t>
  </si>
  <si>
    <t xml:space="preserve">4. Dashboard terisi otomatis. Tidak ada yang perlu diketik di sana.</t>
  </si>
  <si>
    <t xml:space="preserve">5. Hapus baris contoh (baris 6 sampai 10 di Daftar Affiliate) sebelum dipakai.</t>
  </si>
  <si>
    <t xml:space="preserve">KENAPA ADA KOLOM GMV PER 1.000 FOLLOWERS</t>
  </si>
  <si>
    <t xml:space="preserve">Followers besar tidak berarti penjualan besar. Kolom itu menunjukkan berapa rupiah yang dihasilkan tiap 1.000 followers,</t>
  </si>
  <si>
    <t xml:space="preserve">jadi affiliate kecil yang menjual efektif bisa terlihat, dan itu tidak akan kelihatan kalau daftarnya cuma diurutkan dari followers.</t>
  </si>
  <si>
    <t xml:space="preserve">DAFTAR AFFILIATE</t>
  </si>
  <si>
    <t xml:space="preserve">Isi kolom krem saja. Kolom abu terisi sendiri.</t>
  </si>
  <si>
    <t xml:space="preserve">No</t>
  </si>
  <si>
    <t xml:space="preserve">Username / Handle</t>
  </si>
  <si>
    <t xml:space="preserve">Link Profil</t>
  </si>
  <si>
    <t xml:space="preserve">Followers</t>
  </si>
  <si>
    <t xml:space="preserve">Rata-rata Views/Konten</t>
  </si>
  <si>
    <t xml:space="preserve">Konten/Bulan</t>
  </si>
  <si>
    <t xml:space="preserve">Sales per Bulan (GMV)</t>
  </si>
  <si>
    <t xml:space="preserve">Order/Bulan</t>
  </si>
  <si>
    <t xml:space="preserve">Komisi %</t>
  </si>
  <si>
    <t xml:space="preserve">Biaya Komisi</t>
  </si>
  <si>
    <t xml:space="preserve">GMV Bersih</t>
  </si>
  <si>
    <t xml:space="preserve">Nilai Order Rata-rata</t>
  </si>
  <si>
    <t xml:space="preserve">GMV per 1.000 Views</t>
  </si>
  <si>
    <t xml:space="preserve">Status</t>
  </si>
  <si>
    <t xml:space="preserve">Tanggal Gabung</t>
  </si>
  <si>
    <t xml:space="preserve">PIC</t>
  </si>
  <si>
    <t xml:space="preserve">Catatan</t>
  </si>
  <si>
    <t xml:space="preserve">Peringkat GMV</t>
  </si>
  <si>
    <t xml:space="preserve">Peringkat Efisiensi</t>
  </si>
  <si>
    <t xml:space="preserve">Rizky Pratama</t>
  </si>
  <si>
    <t xml:space="preserve">@rizkyfits</t>
  </si>
  <si>
    <t xml:space="preserve">tiktok.com/@rizkyfits</t>
  </si>
  <si>
    <t xml:space="preserve">2026-03-14</t>
  </si>
  <si>
    <t xml:space="preserve">Nuri</t>
  </si>
  <si>
    <t xml:space="preserve">Konversi tinggi walau followers kecil</t>
  </si>
  <si>
    <t xml:space="preserve">Bagas Adi</t>
  </si>
  <si>
    <t xml:space="preserve">@bagasdaily</t>
  </si>
  <si>
    <t xml:space="preserve">tiktok.com/@bagasdaily</t>
  </si>
  <si>
    <t xml:space="preserve">2026-02-02</t>
  </si>
  <si>
    <t xml:space="preserve">Dimas Nugroho</t>
  </si>
  <si>
    <t xml:space="preserve">@dimasnugroho</t>
  </si>
  <si>
    <t xml:space="preserve">instagram.com/dimasnugroho</t>
  </si>
  <si>
    <t xml:space="preserve">2026-01-20</t>
  </si>
  <si>
    <t xml:space="preserve">Followers besar, penjualan kecil</t>
  </si>
  <si>
    <t xml:space="preserve">Aditya Wijaya</t>
  </si>
  <si>
    <t xml:space="preserve">@adityawjy</t>
  </si>
  <si>
    <t xml:space="preserve">tiktok.com/@adityawjy</t>
  </si>
  <si>
    <t xml:space="preserve">2025-11-08</t>
  </si>
  <si>
    <t xml:space="preserve">Fajar Ramadhan</t>
  </si>
  <si>
    <t xml:space="preserve">@fajarrmdhn</t>
  </si>
  <si>
    <t xml:space="preserve">shopee.co.id/fajarrmdhn</t>
  </si>
  <si>
    <t xml:space="preserve">2026-06-30</t>
  </si>
  <si>
    <t xml:space="preserve">TOTAL</t>
  </si>
  <si>
    <t xml:space="preserve">Baris 6 sampai 10 adalah CONTOH. Hapus isinya sebelum dipakai; rumusnya akan tetap jalan.</t>
  </si>
  <si>
    <t xml:space="preserve">REKAP GMV BULANAN</t>
  </si>
  <si>
    <t xml:space="preserve">Namanya ikut Daftar Affiliate. Isi GMV tiap bulan di kolom krem.</t>
  </si>
  <si>
    <t xml:space="preserve">Jan</t>
  </si>
  <si>
    <t xml:space="preserve">Feb</t>
  </si>
  <si>
    <t xml:space="preserve">Mar</t>
  </si>
  <si>
    <t xml:space="preserve">Apr</t>
  </si>
  <si>
    <t xml:space="preserve">Mei</t>
  </si>
  <si>
    <t xml:space="preserve">Jun</t>
  </si>
  <si>
    <t xml:space="preserve">Jul</t>
  </si>
  <si>
    <t xml:space="preserve">Agu</t>
  </si>
  <si>
    <t xml:space="preserve">Sep</t>
  </si>
  <si>
    <t xml:space="preserve">Okt</t>
  </si>
  <si>
    <t xml:space="preserve">Nov</t>
  </si>
  <si>
    <t xml:space="preserve">Des</t>
  </si>
  <si>
    <t xml:space="preserve">Total Setahun</t>
  </si>
  <si>
    <t xml:space="preserve">Rata-rata per Bulan Aktif</t>
  </si>
  <si>
    <t xml:space="preserve">Bulan Tertinggi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</si>
</sst>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&quot;Rp&quot;#,##0;&quot;(Rp&quot;#,##0\);\-"/>
    <numFmt numFmtId="167" formatCode="0.0%;\(0.0%\);\-"/>
    <numFmt numFmtId="168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82828"/>
      <name val="Arial"/>
      <family val="0"/>
      <charset val="1"/>
    </font>
    <font>
      <sz val="10"/>
      <color rgb="FF4F5052"/>
      <name val="Arial"/>
      <family val="0"/>
      <charset val="1"/>
    </font>
    <font>
      <b val="true"/>
      <sz val="10"/>
      <color rgb="FF282828"/>
      <name val="Arial"/>
      <family val="0"/>
      <charset val="1"/>
    </font>
    <font>
      <sz val="10"/>
      <color rgb="FF28282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4F5052"/>
      <name val="Arial"/>
      <family val="0"/>
      <charset val="1"/>
    </font>
    <font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4F4F4"/>
        <bgColor rgb="FFEDEDED"/>
      </patternFill>
    </fill>
    <fill>
      <patternFill patternType="solid">
        <fgColor rgb="FF282828"/>
        <bgColor rgb="FF333300"/>
      </patternFill>
    </fill>
    <fill>
      <patternFill patternType="solid">
        <fgColor rgb="FFFFFDF0"/>
        <bgColor rgb="FFFFFFFF"/>
      </patternFill>
    </fill>
    <fill>
      <patternFill patternType="solid">
        <fgColor rgb="FFEDEDED"/>
        <bgColor rgb="FFF4F4F4"/>
      </patternFill>
    </fill>
    <fill>
      <patternFill patternType="solid">
        <fgColor rgb="FFCCCCC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282828"/>
          <bgColor rgb="FF000000"/>
        </patternFill>
      </fill>
    </dxf>
    <dxf>
      <fill>
        <patternFill patternType="solid">
          <fgColor rgb="FFF4F4F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DF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DCE3A9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8CC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ont>
        <name val="Arial"/>
        <charset val="1"/>
        <family val="0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color rgb="FF006100"/>
        <sz val="1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DF0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4F4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F505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8282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24"/>
    <col collapsed="false" customWidth="true" hidden="false" outlineLevel="0" max="6" min="6" style="0" width="18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f aca="false">COUNTA('Daftar Affiliate'!$B$6:$B$105)</f>
        <v>5</v>
      </c>
    </row>
    <row r="6" customFormat="false" ht="15" hidden="false" customHeight="false" outlineLevel="0" collapsed="false">
      <c r="A6" s="4" t="s">
        <v>4</v>
      </c>
      <c r="B6" s="5" t="n">
        <f aca="false">COUNTIF('Daftar Affiliate'!$R$6:$R$105,"Aktif")</f>
        <v>3</v>
      </c>
    </row>
    <row r="7" customFormat="false" ht="15" hidden="false" customHeight="false" outlineLevel="0" collapsed="false">
      <c r="A7" s="4" t="s">
        <v>5</v>
      </c>
      <c r="B7" s="5" t="n">
        <f aca="false">SUM('Daftar Affiliate'!$F$6:$F$105)</f>
        <v>799700</v>
      </c>
    </row>
    <row r="8" customFormat="false" ht="15" hidden="false" customHeight="false" outlineLevel="0" collapsed="false">
      <c r="A8" s="4" t="s">
        <v>6</v>
      </c>
      <c r="B8" s="6" t="n">
        <f aca="false">SUM('Daftar Affiliate'!$J$6:$J$105)</f>
        <v>68750000</v>
      </c>
    </row>
    <row r="9" customFormat="false" ht="15" hidden="false" customHeight="false" outlineLevel="0" collapsed="false">
      <c r="A9" s="4" t="s">
        <v>7</v>
      </c>
      <c r="B9" s="6" t="n">
        <f aca="false">SUM('Daftar Affiliate'!$M$6:$M$105)</f>
        <v>7299000</v>
      </c>
    </row>
    <row r="10" customFormat="false" ht="15" hidden="false" customHeight="false" outlineLevel="0" collapsed="false">
      <c r="A10" s="4" t="s">
        <v>8</v>
      </c>
      <c r="B10" s="6" t="n">
        <f aca="false">SUM('Daftar Affiliate'!$N$6:$N$105)</f>
        <v>61451000</v>
      </c>
    </row>
    <row r="11" customFormat="false" ht="15" hidden="false" customHeight="false" outlineLevel="0" collapsed="false">
      <c r="A11" s="4" t="s">
        <v>9</v>
      </c>
      <c r="B11" s="6" t="n">
        <f aca="false">IFERROR(SUM('Daftar Affiliate'!$J$6:$J$105)/COUNTA('Daftar Affiliate'!$B$6:$B$105),0)</f>
        <v>13750000</v>
      </c>
    </row>
    <row r="12" customFormat="false" ht="15" hidden="false" customHeight="false" outlineLevel="0" collapsed="false">
      <c r="A12" s="4" t="s">
        <v>10</v>
      </c>
      <c r="B12" s="6" t="n">
        <f aca="false">IFERROR(SUM('Daftar Affiliate'!$J$6:$J$105)/SUM('Daftar Affiliate'!$F$6:$F$105)*1000,0)</f>
        <v>85969.7386519945</v>
      </c>
    </row>
    <row r="13" customFormat="false" ht="15" hidden="false" customHeight="false" outlineLevel="0" collapsed="false">
      <c r="A13" s="4" t="s">
        <v>11</v>
      </c>
      <c r="B13" s="7" t="n">
        <f aca="false">IFERROR(SUM('Daftar Affiliate'!$M$6:$M$105)/SUM('Daftar Affiliate'!$J$6:$J$105),0)</f>
        <v>0.106167272727273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8" t="s">
        <v>13</v>
      </c>
      <c r="B17" s="8" t="s">
        <v>14</v>
      </c>
      <c r="C17" s="8" t="s">
        <v>5</v>
      </c>
      <c r="D17" s="8" t="s">
        <v>15</v>
      </c>
      <c r="E17" s="8" t="s">
        <v>16</v>
      </c>
      <c r="F17" s="8" t="s">
        <v>17</v>
      </c>
    </row>
    <row r="18" customFormat="false" ht="15" hidden="false" customHeight="false" outlineLevel="0" collapsed="false">
      <c r="A18" s="9" t="s">
        <v>18</v>
      </c>
      <c r="B18" s="10" t="n">
        <f aca="false">COUNTIF('Daftar Affiliate'!$G$6:$G$105,$A18)</f>
        <v>2</v>
      </c>
      <c r="C18" s="10" t="n">
        <f aca="false">SUMIF('Daftar Affiliate'!$G$6:$G$105,$A18,'Daftar Affiliate'!$F$6:$F$105)</f>
        <v>11700</v>
      </c>
      <c r="D18" s="11" t="n">
        <f aca="false">SUMIF('Daftar Affiliate'!$G$6:$G$105,$A18,'Daftar Affiliate'!$J$6:$J$105)</f>
        <v>8950000</v>
      </c>
      <c r="E18" s="11" t="n">
        <f aca="false">IFERROR($D18/$C18*1000,0)</f>
        <v>764957.264957265</v>
      </c>
      <c r="F18" s="12" t="n">
        <f aca="false">IFERROR($D18/SUM('Daftar Affiliate'!$J$6:$J$105),0)</f>
        <v>0.130181818181818</v>
      </c>
    </row>
    <row r="19" customFormat="false" ht="15" hidden="false" customHeight="false" outlineLevel="0" collapsed="false">
      <c r="A19" s="9" t="s">
        <v>19</v>
      </c>
      <c r="B19" s="10" t="n">
        <f aca="false">COUNTIF('Daftar Affiliate'!$G$6:$G$105,$A19)</f>
        <v>1</v>
      </c>
      <c r="C19" s="10" t="n">
        <f aca="false">SUMIF('Daftar Affiliate'!$G$6:$G$105,$A19,'Daftar Affiliate'!$F$6:$F$105)</f>
        <v>46000</v>
      </c>
      <c r="D19" s="11" t="n">
        <f aca="false">SUMIF('Daftar Affiliate'!$G$6:$G$105,$A19,'Daftar Affiliate'!$J$6:$J$105)</f>
        <v>21400000</v>
      </c>
      <c r="E19" s="11" t="n">
        <f aca="false">IFERROR($D19/$C19*1000,0)</f>
        <v>465217.391304348</v>
      </c>
      <c r="F19" s="12" t="n">
        <f aca="false">IFERROR($D19/SUM('Daftar Affiliate'!$J$6:$J$105),0)</f>
        <v>0.311272727272727</v>
      </c>
    </row>
    <row r="20" customFormat="false" ht="15" hidden="false" customHeight="false" outlineLevel="0" collapsed="false">
      <c r="A20" s="9" t="s">
        <v>20</v>
      </c>
      <c r="B20" s="10" t="n">
        <f aca="false">COUNTIF('Daftar Affiliate'!$G$6:$G$105,$A20)</f>
        <v>1</v>
      </c>
      <c r="C20" s="10" t="n">
        <f aca="false">SUMIF('Daftar Affiliate'!$G$6:$G$105,$A20,'Daftar Affiliate'!$F$6:$F$105)</f>
        <v>132000</v>
      </c>
      <c r="D20" s="11" t="n">
        <f aca="false">SUMIF('Daftar Affiliate'!$G$6:$G$105,$A20,'Daftar Affiliate'!$J$6:$J$105)</f>
        <v>4900000</v>
      </c>
      <c r="E20" s="11" t="n">
        <f aca="false">IFERROR($D20/$C20*1000,0)</f>
        <v>37121.2121212121</v>
      </c>
      <c r="F20" s="12" t="n">
        <f aca="false">IFERROR($D20/SUM('Daftar Affiliate'!$J$6:$J$105),0)</f>
        <v>0.0712727272727273</v>
      </c>
    </row>
    <row r="21" customFormat="false" ht="15" hidden="false" customHeight="false" outlineLevel="0" collapsed="false">
      <c r="A21" s="9" t="s">
        <v>21</v>
      </c>
      <c r="B21" s="10" t="n">
        <f aca="false">COUNTIF('Daftar Affiliate'!$G$6:$G$105,$A21)</f>
        <v>1</v>
      </c>
      <c r="C21" s="10" t="n">
        <f aca="false">SUMIF('Daftar Affiliate'!$G$6:$G$105,$A21,'Daftar Affiliate'!$F$6:$F$105)</f>
        <v>610000</v>
      </c>
      <c r="D21" s="11" t="n">
        <f aca="false">SUMIF('Daftar Affiliate'!$G$6:$G$105,$A21,'Daftar Affiliate'!$J$6:$J$105)</f>
        <v>33500000</v>
      </c>
      <c r="E21" s="11" t="n">
        <f aca="false">IFERROR($D21/$C21*1000,0)</f>
        <v>54918.0327868853</v>
      </c>
      <c r="F21" s="12" t="n">
        <f aca="false">IFERROR($D21/SUM('Daftar Affiliate'!$J$6:$J$105),0)</f>
        <v>0.487272727272727</v>
      </c>
    </row>
    <row r="22" customFormat="false" ht="15" hidden="false" customHeight="false" outlineLevel="0" collapsed="false">
      <c r="A22" s="9" t="s">
        <v>22</v>
      </c>
      <c r="B22" s="10" t="n">
        <f aca="false">COUNTIF('Daftar Affiliate'!$G$6:$G$105,$A22)</f>
        <v>0</v>
      </c>
      <c r="C22" s="10" t="n">
        <f aca="false">SUMIF('Daftar Affiliate'!$G$6:$G$105,$A22,'Daftar Affiliate'!$F$6:$F$105)</f>
        <v>0</v>
      </c>
      <c r="D22" s="11" t="n">
        <f aca="false">SUMIF('Daftar Affiliate'!$G$6:$G$105,$A22,'Daftar Affiliate'!$J$6:$J$105)</f>
        <v>0</v>
      </c>
      <c r="E22" s="11" t="n">
        <f aca="false">IFERROR($D22/$C22*1000,0)</f>
        <v>0</v>
      </c>
      <c r="F22" s="12" t="n">
        <f aca="false">IFERROR($D22/SUM('Daftar Affiliate'!$J$6:$J$105),0)</f>
        <v>0</v>
      </c>
    </row>
    <row r="25" customFormat="false" ht="15" hidden="false" customHeight="false" outlineLevel="0" collapsed="false">
      <c r="A25" s="3" t="s">
        <v>23</v>
      </c>
    </row>
    <row r="26" customFormat="false" ht="15" hidden="false" customHeight="false" outlineLevel="0" collapsed="false">
      <c r="A26" s="8" t="s">
        <v>24</v>
      </c>
      <c r="B26" s="8" t="s">
        <v>14</v>
      </c>
      <c r="C26" s="8" t="s">
        <v>15</v>
      </c>
      <c r="D26" s="8" t="s">
        <v>17</v>
      </c>
    </row>
    <row r="27" customFormat="false" ht="15" hidden="false" customHeight="false" outlineLevel="0" collapsed="false">
      <c r="A27" s="9" t="s">
        <v>25</v>
      </c>
      <c r="B27" s="10" t="n">
        <f aca="false">COUNTIF('Daftar Affiliate'!$D$6:$D$105,$A27)</f>
        <v>2</v>
      </c>
      <c r="C27" s="11" t="n">
        <f aca="false">SUMIF('Daftar Affiliate'!$D$6:$D$105,$A27,'Daftar Affiliate'!$J$6:$J$105)</f>
        <v>40300000</v>
      </c>
      <c r="D27" s="12" t="n">
        <f aca="false">IFERROR($C27/SUM('Daftar Affiliate'!$J$6:$J$105),0)</f>
        <v>0.586181818181818</v>
      </c>
    </row>
    <row r="28" customFormat="false" ht="15" hidden="false" customHeight="false" outlineLevel="0" collapsed="false">
      <c r="A28" s="9" t="s">
        <v>26</v>
      </c>
      <c r="B28" s="10" t="n">
        <f aca="false">COUNTIF('Daftar Affiliate'!$D$6:$D$105,$A28)</f>
        <v>1</v>
      </c>
      <c r="C28" s="11" t="n">
        <f aca="false">SUMIF('Daftar Affiliate'!$D$6:$D$105,$A28,'Daftar Affiliate'!$J$6:$J$105)</f>
        <v>21400000</v>
      </c>
      <c r="D28" s="12" t="n">
        <f aca="false">IFERROR($C28/SUM('Daftar Affiliate'!$J$6:$J$105),0)</f>
        <v>0.311272727272727</v>
      </c>
    </row>
    <row r="29" customFormat="false" ht="15" hidden="false" customHeight="false" outlineLevel="0" collapsed="false">
      <c r="A29" s="9" t="s">
        <v>27</v>
      </c>
      <c r="B29" s="10" t="n">
        <f aca="false">COUNTIF('Daftar Affiliate'!$D$6:$D$105,$A29)</f>
        <v>1</v>
      </c>
      <c r="C29" s="11" t="n">
        <f aca="false">SUMIF('Daftar Affiliate'!$D$6:$D$105,$A29,'Daftar Affiliate'!$J$6:$J$105)</f>
        <v>4900000</v>
      </c>
      <c r="D29" s="12" t="n">
        <f aca="false">IFERROR($C29/SUM('Daftar Affiliate'!$J$6:$J$105),0)</f>
        <v>0.0712727272727273</v>
      </c>
    </row>
    <row r="30" customFormat="false" ht="15" hidden="false" customHeight="false" outlineLevel="0" collapsed="false">
      <c r="A30" s="9" t="s">
        <v>28</v>
      </c>
      <c r="B30" s="10" t="n">
        <f aca="false">COUNTIF('Daftar Affiliate'!$D$6:$D$105,$A30)</f>
        <v>1</v>
      </c>
      <c r="C30" s="11" t="n">
        <f aca="false">SUMIF('Daftar Affiliate'!$D$6:$D$105,$A30,'Daftar Affiliate'!$J$6:$J$105)</f>
        <v>2150000</v>
      </c>
      <c r="D30" s="12" t="n">
        <f aca="false">IFERROR($C30/SUM('Daftar Affiliate'!$J$6:$J$105),0)</f>
        <v>0.0312727272727273</v>
      </c>
    </row>
    <row r="31" customFormat="false" ht="15" hidden="false" customHeight="false" outlineLevel="0" collapsed="false">
      <c r="A31" s="9" t="s">
        <v>29</v>
      </c>
      <c r="B31" s="10" t="n">
        <f aca="false">COUNTIF('Daftar Affiliate'!$D$6:$D$105,$A31)</f>
        <v>0</v>
      </c>
      <c r="C31" s="11" t="n">
        <f aca="false">SUMIF('Daftar Affiliate'!$D$6:$D$105,$A31,'Daftar Affiliate'!$J$6:$J$105)</f>
        <v>0</v>
      </c>
      <c r="D31" s="12" t="n">
        <f aca="false">IFERROR($C31/SUM('Daftar Affiliate'!$J$6:$J$105),0)</f>
        <v>0</v>
      </c>
    </row>
    <row r="33" customFormat="false" ht="15" hidden="false" customHeight="false" outlineLevel="0" collapsed="false">
      <c r="A33" s="3" t="s">
        <v>30</v>
      </c>
    </row>
    <row r="34" customFormat="false" ht="15" hidden="false" customHeight="false" outlineLevel="0" collapsed="false">
      <c r="A34" s="13" t="s">
        <v>31</v>
      </c>
    </row>
    <row r="35" customFormat="false" ht="15" hidden="false" customHeight="false" outlineLevel="0" collapsed="false">
      <c r="A35" s="8" t="s">
        <v>32</v>
      </c>
      <c r="B35" s="8" t="s">
        <v>33</v>
      </c>
      <c r="C35" s="8" t="s">
        <v>13</v>
      </c>
      <c r="D35" s="8" t="s">
        <v>34</v>
      </c>
      <c r="E35" s="8" t="s">
        <v>16</v>
      </c>
    </row>
    <row r="36" customFormat="false" ht="15" hidden="false" customHeight="false" outlineLevel="0" collapsed="false">
      <c r="A36" s="9" t="n">
        <v>1</v>
      </c>
      <c r="B36" s="9" t="str">
        <f aca="false">IFERROR(INDEX('Daftar Affiliate'!$B$6:$B$105,MATCH(1,'Daftar Affiliate'!$V$6:$V$105,0)),"")</f>
        <v>Aditya Wijaya</v>
      </c>
      <c r="C36" s="9" t="str">
        <f aca="false">IFERROR(INDEX('Daftar Affiliate'!$G$6:$G$105,MATCH(1,'Daftar Affiliate'!$V$6:$V$105,0)),"")</f>
        <v>Macro</v>
      </c>
      <c r="D36" s="11" t="n">
        <f aca="false">IFERROR(INDEX('Daftar Affiliate'!$J$6:$J$105,MATCH(1,'Daftar Affiliate'!$V$6:$V$105,0)),"")</f>
        <v>33500000</v>
      </c>
      <c r="E36" s="11" t="n">
        <f aca="false">IFERROR(INDEX('Daftar Affiliate'!$O$6:$O$105,MATCH(1,'Daftar Affiliate'!$V$6:$V$105,0)),"")</f>
        <v>54918.0327868853</v>
      </c>
    </row>
    <row r="37" customFormat="false" ht="15" hidden="false" customHeight="false" outlineLevel="0" collapsed="false">
      <c r="A37" s="9" t="n">
        <v>2</v>
      </c>
      <c r="B37" s="9" t="str">
        <f aca="false">IFERROR(INDEX('Daftar Affiliate'!$B$6:$B$105,MATCH(2,'Daftar Affiliate'!$V$6:$V$105,0)),"")</f>
        <v>Bagas Adi</v>
      </c>
      <c r="C37" s="9" t="str">
        <f aca="false">IFERROR(INDEX('Daftar Affiliate'!$G$6:$G$105,MATCH(2,'Daftar Affiliate'!$V$6:$V$105,0)),"")</f>
        <v>Micro</v>
      </c>
      <c r="D37" s="11" t="n">
        <f aca="false">IFERROR(INDEX('Daftar Affiliate'!$J$6:$J$105,MATCH(2,'Daftar Affiliate'!$V$6:$V$105,0)),"")</f>
        <v>21400000</v>
      </c>
      <c r="E37" s="11" t="n">
        <f aca="false">IFERROR(INDEX('Daftar Affiliate'!$O$6:$O$105,MATCH(2,'Daftar Affiliate'!$V$6:$V$105,0)),"")</f>
        <v>465217.391304348</v>
      </c>
    </row>
    <row r="38" customFormat="false" ht="15" hidden="false" customHeight="false" outlineLevel="0" collapsed="false">
      <c r="A38" s="9" t="n">
        <v>3</v>
      </c>
      <c r="B38" s="9" t="str">
        <f aca="false">IFERROR(INDEX('Daftar Affiliate'!$B$6:$B$105,MATCH(3,'Daftar Affiliate'!$V$6:$V$105,0)),"")</f>
        <v>Rizky Pratama</v>
      </c>
      <c r="C38" s="9" t="str">
        <f aca="false">IFERROR(INDEX('Daftar Affiliate'!$G$6:$G$105,MATCH(3,'Daftar Affiliate'!$V$6:$V$105,0)),"")</f>
        <v>Nano</v>
      </c>
      <c r="D38" s="11" t="n">
        <f aca="false">IFERROR(INDEX('Daftar Affiliate'!$J$6:$J$105,MATCH(3,'Daftar Affiliate'!$V$6:$V$105,0)),"")</f>
        <v>6800000</v>
      </c>
      <c r="E38" s="11" t="n">
        <f aca="false">IFERROR(INDEX('Daftar Affiliate'!$O$6:$O$105,MATCH(3,'Daftar Affiliate'!$V$6:$V$105,0)),"")</f>
        <v>800000</v>
      </c>
    </row>
    <row r="39" customFormat="false" ht="15" hidden="false" customHeight="false" outlineLevel="0" collapsed="false">
      <c r="A39" s="9" t="n">
        <v>4</v>
      </c>
      <c r="B39" s="9" t="str">
        <f aca="false">IFERROR(INDEX('Daftar Affiliate'!$B$6:$B$105,MATCH(4,'Daftar Affiliate'!$V$6:$V$105,0)),"")</f>
        <v>Dimas Nugroho</v>
      </c>
      <c r="C39" s="9" t="str">
        <f aca="false">IFERROR(INDEX('Daftar Affiliate'!$G$6:$G$105,MATCH(4,'Daftar Affiliate'!$V$6:$V$105,0)),"")</f>
        <v>Mid</v>
      </c>
      <c r="D39" s="11" t="n">
        <f aca="false">IFERROR(INDEX('Daftar Affiliate'!$J$6:$J$105,MATCH(4,'Daftar Affiliate'!$V$6:$V$105,0)),"")</f>
        <v>4900000</v>
      </c>
      <c r="E39" s="11" t="n">
        <f aca="false">IFERROR(INDEX('Daftar Affiliate'!$O$6:$O$105,MATCH(4,'Daftar Affiliate'!$V$6:$V$105,0)),"")</f>
        <v>37121.2121212121</v>
      </c>
    </row>
    <row r="40" customFormat="false" ht="15" hidden="false" customHeight="false" outlineLevel="0" collapsed="false">
      <c r="A40" s="9" t="n">
        <v>5</v>
      </c>
      <c r="B40" s="9" t="str">
        <f aca="false">IFERROR(INDEX('Daftar Affiliate'!$B$6:$B$105,MATCH(5,'Daftar Affiliate'!$V$6:$V$105,0)),"")</f>
        <v>Fajar Ramadhan</v>
      </c>
      <c r="C40" s="9" t="str">
        <f aca="false">IFERROR(INDEX('Daftar Affiliate'!$G$6:$G$105,MATCH(5,'Daftar Affiliate'!$V$6:$V$105,0)),"")</f>
        <v>Nano</v>
      </c>
      <c r="D40" s="11" t="n">
        <f aca="false">IFERROR(INDEX('Daftar Affiliate'!$J$6:$J$105,MATCH(5,'Daftar Affiliate'!$V$6:$V$105,0)),"")</f>
        <v>2150000</v>
      </c>
      <c r="E40" s="11" t="n">
        <f aca="false">IFERROR(INDEX('Daftar Affiliate'!$O$6:$O$105,MATCH(5,'Daftar Affiliate'!$V$6:$V$105,0)),"")</f>
        <v>671875</v>
      </c>
    </row>
    <row r="42" customFormat="false" ht="15" hidden="false" customHeight="false" outlineLevel="0" collapsed="false">
      <c r="A42" s="3" t="s">
        <v>35</v>
      </c>
    </row>
    <row r="43" customFormat="false" ht="15" hidden="false" customHeight="false" outlineLevel="0" collapsed="false">
      <c r="A43" s="13" t="s">
        <v>36</v>
      </c>
    </row>
    <row r="44" customFormat="false" ht="15" hidden="false" customHeight="false" outlineLevel="0" collapsed="false">
      <c r="A44" s="8" t="s">
        <v>32</v>
      </c>
      <c r="B44" s="8" t="s">
        <v>33</v>
      </c>
      <c r="C44" s="8" t="s">
        <v>13</v>
      </c>
      <c r="D44" s="8" t="s">
        <v>34</v>
      </c>
      <c r="E44" s="8" t="s">
        <v>16</v>
      </c>
    </row>
    <row r="45" customFormat="false" ht="15" hidden="false" customHeight="false" outlineLevel="0" collapsed="false">
      <c r="A45" s="9" t="n">
        <v>1</v>
      </c>
      <c r="B45" s="9" t="str">
        <f aca="false">IFERROR(INDEX('Daftar Affiliate'!$B$6:$B$105,MATCH(1,'Daftar Affiliate'!$W$6:$W$105,0)),"")</f>
        <v>Rizky Pratama</v>
      </c>
      <c r="C45" s="9" t="str">
        <f aca="false">IFERROR(INDEX('Daftar Affiliate'!$G$6:$G$105,MATCH(1,'Daftar Affiliate'!$W$6:$W$105,0)),"")</f>
        <v>Nano</v>
      </c>
      <c r="D45" s="11" t="n">
        <f aca="false">IFERROR(INDEX('Daftar Affiliate'!$J$6:$J$105,MATCH(1,'Daftar Affiliate'!$W$6:$W$105,0)),"")</f>
        <v>6800000</v>
      </c>
      <c r="E45" s="11" t="n">
        <f aca="false">IFERROR(INDEX('Daftar Affiliate'!$O$6:$O$105,MATCH(1,'Daftar Affiliate'!$W$6:$W$105,0)),"")</f>
        <v>800000</v>
      </c>
    </row>
    <row r="46" customFormat="false" ht="15" hidden="false" customHeight="false" outlineLevel="0" collapsed="false">
      <c r="A46" s="9" t="n">
        <v>2</v>
      </c>
      <c r="B46" s="9" t="str">
        <f aca="false">IFERROR(INDEX('Daftar Affiliate'!$B$6:$B$105,MATCH(2,'Daftar Affiliate'!$W$6:$W$105,0)),"")</f>
        <v>Fajar Ramadhan</v>
      </c>
      <c r="C46" s="9" t="str">
        <f aca="false">IFERROR(INDEX('Daftar Affiliate'!$G$6:$G$105,MATCH(2,'Daftar Affiliate'!$W$6:$W$105,0)),"")</f>
        <v>Nano</v>
      </c>
      <c r="D46" s="11" t="n">
        <f aca="false">IFERROR(INDEX('Daftar Affiliate'!$J$6:$J$105,MATCH(2,'Daftar Affiliate'!$W$6:$W$105,0)),"")</f>
        <v>2150000</v>
      </c>
      <c r="E46" s="11" t="n">
        <f aca="false">IFERROR(INDEX('Daftar Affiliate'!$O$6:$O$105,MATCH(2,'Daftar Affiliate'!$W$6:$W$105,0)),"")</f>
        <v>671875</v>
      </c>
    </row>
    <row r="47" customFormat="false" ht="15" hidden="false" customHeight="false" outlineLevel="0" collapsed="false">
      <c r="A47" s="9" t="n">
        <v>3</v>
      </c>
      <c r="B47" s="9" t="str">
        <f aca="false">IFERROR(INDEX('Daftar Affiliate'!$B$6:$B$105,MATCH(3,'Daftar Affiliate'!$W$6:$W$105,0)),"")</f>
        <v>Bagas Adi</v>
      </c>
      <c r="C47" s="9" t="str">
        <f aca="false">IFERROR(INDEX('Daftar Affiliate'!$G$6:$G$105,MATCH(3,'Daftar Affiliate'!$W$6:$W$105,0)),"")</f>
        <v>Micro</v>
      </c>
      <c r="D47" s="11" t="n">
        <f aca="false">IFERROR(INDEX('Daftar Affiliate'!$J$6:$J$105,MATCH(3,'Daftar Affiliate'!$W$6:$W$105,0)),"")</f>
        <v>21400000</v>
      </c>
      <c r="E47" s="11" t="n">
        <f aca="false">IFERROR(INDEX('Daftar Affiliate'!$O$6:$O$105,MATCH(3,'Daftar Affiliate'!$W$6:$W$105,0)),"")</f>
        <v>465217.391304348</v>
      </c>
    </row>
    <row r="48" customFormat="false" ht="15" hidden="false" customHeight="false" outlineLevel="0" collapsed="false">
      <c r="A48" s="9" t="n">
        <v>4</v>
      </c>
      <c r="B48" s="9" t="str">
        <f aca="false">IFERROR(INDEX('Daftar Affiliate'!$B$6:$B$105,MATCH(4,'Daftar Affiliate'!$W$6:$W$105,0)),"")</f>
        <v>Aditya Wijaya</v>
      </c>
      <c r="C48" s="9" t="str">
        <f aca="false">IFERROR(INDEX('Daftar Affiliate'!$G$6:$G$105,MATCH(4,'Daftar Affiliate'!$W$6:$W$105,0)),"")</f>
        <v>Macro</v>
      </c>
      <c r="D48" s="11" t="n">
        <f aca="false">IFERROR(INDEX('Daftar Affiliate'!$J$6:$J$105,MATCH(4,'Daftar Affiliate'!$W$6:$W$105,0)),"")</f>
        <v>33500000</v>
      </c>
      <c r="E48" s="11" t="n">
        <f aca="false">IFERROR(INDEX('Daftar Affiliate'!$O$6:$O$105,MATCH(4,'Daftar Affiliate'!$W$6:$W$105,0)),"")</f>
        <v>54918.0327868853</v>
      </c>
    </row>
    <row r="49" customFormat="false" ht="15" hidden="false" customHeight="false" outlineLevel="0" collapsed="false">
      <c r="A49" s="9" t="n">
        <v>5</v>
      </c>
      <c r="B49" s="9" t="str">
        <f aca="false">IFERROR(INDEX('Daftar Affiliate'!$B$6:$B$105,MATCH(5,'Daftar Affiliate'!$W$6:$W$105,0)),"")</f>
        <v>Dimas Nugroho</v>
      </c>
      <c r="C49" s="9" t="str">
        <f aca="false">IFERROR(INDEX('Daftar Affiliate'!$G$6:$G$105,MATCH(5,'Daftar Affiliate'!$W$6:$W$105,0)),"")</f>
        <v>Mid</v>
      </c>
      <c r="D49" s="11" t="n">
        <f aca="false">IFERROR(INDEX('Daftar Affiliate'!$J$6:$J$105,MATCH(5,'Daftar Affiliate'!$W$6:$W$105,0)),"")</f>
        <v>4900000</v>
      </c>
      <c r="E49" s="11" t="n">
        <f aca="false">IFERROR(INDEX('Daftar Affiliate'!$O$6:$O$105,MATCH(5,'Daftar Affiliate'!$W$6:$W$105,0)),"")</f>
        <v>37121.2121212121</v>
      </c>
    </row>
    <row r="52" customFormat="false" ht="15" hidden="false" customHeight="false" outlineLevel="0" collapsed="false">
      <c r="A52" s="13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6"/>
    <col collapsed="false" customWidth="true" hidden="false" outlineLevel="0" max="3" min="3" style="0" width="4"/>
    <col collapsed="false" customWidth="true" hidden="false" outlineLevel="0" max="4" min="4" style="0" width="16"/>
    <col collapsed="false" customWidth="true" hidden="false" outlineLevel="0" max="5" min="5" style="0" width="4"/>
    <col collapsed="false" customWidth="true" hidden="false" outlineLevel="0" max="6" min="6" style="0" width="14"/>
    <col collapsed="false" customWidth="true" hidden="false" outlineLevel="0" max="7" min="7" style="0" width="4"/>
  </cols>
  <sheetData>
    <row r="1" customFormat="false" ht="19.7" hidden="false" customHeight="false" outlineLevel="0" collapsed="false">
      <c r="A1" s="1" t="s">
        <v>38</v>
      </c>
    </row>
    <row r="2" customFormat="false" ht="15" hidden="false" customHeight="false" outlineLevel="0" collapsed="false">
      <c r="A2" s="2" t="s">
        <v>39</v>
      </c>
    </row>
    <row r="4" customFormat="false" ht="15" hidden="false" customHeight="false" outlineLevel="0" collapsed="false">
      <c r="A4" s="3" t="s">
        <v>40</v>
      </c>
      <c r="D4" s="3" t="s">
        <v>41</v>
      </c>
      <c r="F4" s="3" t="s">
        <v>42</v>
      </c>
    </row>
    <row r="5" customFormat="false" ht="15" hidden="false" customHeight="false" outlineLevel="0" collapsed="false">
      <c r="A5" s="14" t="s">
        <v>43</v>
      </c>
      <c r="B5" s="14" t="s">
        <v>13</v>
      </c>
      <c r="D5" s="15" t="s">
        <v>25</v>
      </c>
      <c r="F5" s="15" t="s">
        <v>44</v>
      </c>
    </row>
    <row r="6" customFormat="false" ht="15" hidden="false" customHeight="false" outlineLevel="0" collapsed="false">
      <c r="A6" s="16" t="n">
        <v>0</v>
      </c>
      <c r="B6" s="17" t="s">
        <v>18</v>
      </c>
      <c r="D6" s="15" t="s">
        <v>26</v>
      </c>
      <c r="F6" s="15" t="s">
        <v>45</v>
      </c>
    </row>
    <row r="7" customFormat="false" ht="15" hidden="false" customHeight="false" outlineLevel="0" collapsed="false">
      <c r="A7" s="16" t="n">
        <v>10000</v>
      </c>
      <c r="B7" s="17" t="s">
        <v>19</v>
      </c>
      <c r="D7" s="15" t="s">
        <v>27</v>
      </c>
      <c r="F7" s="15" t="s">
        <v>46</v>
      </c>
    </row>
    <row r="8" customFormat="false" ht="15" hidden="false" customHeight="false" outlineLevel="0" collapsed="false">
      <c r="A8" s="16" t="n">
        <v>100000</v>
      </c>
      <c r="B8" s="17" t="s">
        <v>20</v>
      </c>
      <c r="D8" s="15" t="s">
        <v>28</v>
      </c>
      <c r="F8" s="15" t="s">
        <v>47</v>
      </c>
    </row>
    <row r="9" customFormat="false" ht="15" hidden="false" customHeight="false" outlineLevel="0" collapsed="false">
      <c r="A9" s="16" t="n">
        <v>500000</v>
      </c>
      <c r="B9" s="17" t="s">
        <v>21</v>
      </c>
      <c r="D9" s="15" t="s">
        <v>29</v>
      </c>
    </row>
    <row r="10" customFormat="false" ht="15" hidden="false" customHeight="false" outlineLevel="0" collapsed="false">
      <c r="A10" s="16" t="n">
        <v>1000000</v>
      </c>
      <c r="B10" s="17" t="s">
        <v>22</v>
      </c>
    </row>
    <row r="12" customFormat="false" ht="15" hidden="false" customHeight="false" outlineLevel="0" collapsed="false">
      <c r="A12" s="13" t="s">
        <v>48</v>
      </c>
    </row>
    <row r="15" customFormat="false" ht="15" hidden="false" customHeight="false" outlineLevel="0" collapsed="false">
      <c r="A15" s="3" t="s">
        <v>49</v>
      </c>
    </row>
    <row r="16" customFormat="false" ht="15" hidden="false" customHeight="false" outlineLevel="0" collapsed="false">
      <c r="A16" s="18" t="s">
        <v>50</v>
      </c>
      <c r="B16" s="19" t="s">
        <v>51</v>
      </c>
    </row>
    <row r="17" customFormat="false" ht="15" hidden="false" customHeight="false" outlineLevel="0" collapsed="false">
      <c r="A17" s="20" t="s">
        <v>52</v>
      </c>
      <c r="B17" s="19" t="s">
        <v>53</v>
      </c>
    </row>
    <row r="18" customFormat="false" ht="15" hidden="false" customHeight="false" outlineLevel="0" collapsed="false">
      <c r="A18" s="21" t="s">
        <v>54</v>
      </c>
      <c r="B18" s="19" t="s">
        <v>55</v>
      </c>
    </row>
    <row r="21" customFormat="false" ht="15" hidden="false" customHeight="false" outlineLevel="0" collapsed="false">
      <c r="A21" s="3" t="s">
        <v>56</v>
      </c>
    </row>
    <row r="22" customFormat="false" ht="15" hidden="false" customHeight="false" outlineLevel="0" collapsed="false">
      <c r="A22" s="19" t="s">
        <v>57</v>
      </c>
    </row>
    <row r="23" customFormat="false" ht="15" hidden="false" customHeight="false" outlineLevel="0" collapsed="false">
      <c r="A23" s="19" t="s">
        <v>58</v>
      </c>
    </row>
    <row r="24" customFormat="false" ht="15" hidden="false" customHeight="false" outlineLevel="0" collapsed="false">
      <c r="A24" s="19" t="s">
        <v>59</v>
      </c>
    </row>
    <row r="25" customFormat="false" ht="15" hidden="false" customHeight="false" outlineLevel="0" collapsed="false">
      <c r="A25" s="19" t="s">
        <v>60</v>
      </c>
    </row>
    <row r="26" customFormat="false" ht="15" hidden="false" customHeight="false" outlineLevel="0" collapsed="false">
      <c r="A26" s="19" t="s">
        <v>61</v>
      </c>
    </row>
    <row r="29" customFormat="false" ht="15" hidden="false" customHeight="false" outlineLevel="0" collapsed="false">
      <c r="A29" s="3" t="s">
        <v>62</v>
      </c>
    </row>
    <row r="30" customFormat="false" ht="15" hidden="false" customHeight="false" outlineLevel="0" collapsed="false">
      <c r="A30" s="19" t="s">
        <v>63</v>
      </c>
    </row>
    <row r="31" customFormat="false" ht="15" hidden="false" customHeight="false" outlineLevel="0" collapsed="false">
      <c r="A31" s="19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4" min="13" style="0" width="15"/>
    <col collapsed="false" customWidth="true" hidden="false" outlineLevel="0" max="15" min="15" style="0" width="18"/>
    <col collapsed="false" customWidth="true" hidden="false" outlineLevel="0" max="17" min="16" style="0" width="17"/>
    <col collapsed="false" customWidth="true" hidden="false" outlineLevel="0" max="18" min="18" style="0" width="11"/>
    <col collapsed="false" customWidth="true" hidden="false" outlineLevel="0" max="19" min="19" style="0" width="14"/>
    <col collapsed="false" customWidth="true" hidden="false" outlineLevel="0" max="20" min="20" style="0" width="12"/>
    <col collapsed="false" customWidth="true" hidden="false" outlineLevel="0" max="21" min="21" style="0" width="30"/>
    <col collapsed="false" customWidth="true" hidden="false" outlineLevel="0" max="22" min="22" style="0" width="13"/>
    <col collapsed="false" customWidth="true" hidden="false" outlineLevel="0" max="23" min="23" style="0" width="15"/>
  </cols>
  <sheetData>
    <row r="1" customFormat="false" ht="19.7" hidden="false" customHeight="false" outlineLevel="0" collapsed="false">
      <c r="A1" s="1" t="s">
        <v>65</v>
      </c>
    </row>
    <row r="2" customFormat="false" ht="15" hidden="false" customHeight="false" outlineLevel="0" collapsed="false">
      <c r="A2" s="2" t="s">
        <v>66</v>
      </c>
    </row>
    <row r="4" customFormat="false" ht="33.75" hidden="false" customHeight="true" outlineLevel="0" collapsed="false">
      <c r="A4" s="22" t="s">
        <v>67</v>
      </c>
      <c r="B4" s="22" t="s">
        <v>33</v>
      </c>
      <c r="C4" s="22" t="s">
        <v>68</v>
      </c>
      <c r="D4" s="22" t="s">
        <v>24</v>
      </c>
      <c r="E4" s="22" t="s">
        <v>69</v>
      </c>
      <c r="F4" s="22" t="s">
        <v>70</v>
      </c>
      <c r="G4" s="22" t="s">
        <v>13</v>
      </c>
      <c r="H4" s="22" t="s">
        <v>71</v>
      </c>
      <c r="I4" s="22" t="s">
        <v>72</v>
      </c>
      <c r="J4" s="22" t="s">
        <v>73</v>
      </c>
      <c r="K4" s="22" t="s">
        <v>74</v>
      </c>
      <c r="L4" s="22" t="s">
        <v>75</v>
      </c>
      <c r="M4" s="22" t="s">
        <v>76</v>
      </c>
      <c r="N4" s="22" t="s">
        <v>77</v>
      </c>
      <c r="O4" s="22" t="s">
        <v>16</v>
      </c>
      <c r="P4" s="22" t="s">
        <v>78</v>
      </c>
      <c r="Q4" s="22" t="s">
        <v>79</v>
      </c>
      <c r="R4" s="22" t="s">
        <v>80</v>
      </c>
      <c r="S4" s="22" t="s">
        <v>81</v>
      </c>
      <c r="T4" s="22" t="s">
        <v>82</v>
      </c>
      <c r="U4" s="22" t="s">
        <v>83</v>
      </c>
      <c r="V4" s="22" t="s">
        <v>84</v>
      </c>
      <c r="W4" s="22" t="s">
        <v>85</v>
      </c>
    </row>
    <row r="6" customFormat="false" ht="15" hidden="false" customHeight="false" outlineLevel="0" collapsed="false">
      <c r="A6" s="9" t="n">
        <f aca="false">IF($B6="","",ROW()-5)</f>
        <v>1</v>
      </c>
      <c r="B6" s="23" t="s">
        <v>86</v>
      </c>
      <c r="C6" s="23" t="s">
        <v>87</v>
      </c>
      <c r="D6" s="23" t="s">
        <v>25</v>
      </c>
      <c r="E6" s="23" t="s">
        <v>88</v>
      </c>
      <c r="F6" s="16" t="n">
        <v>8500</v>
      </c>
      <c r="G6" s="9" t="str">
        <f aca="false">IF($F6="","",LOOKUP($F6,Referensi!$A$6:$A$10,Referensi!$B$6:$B$10))</f>
        <v>Nano</v>
      </c>
      <c r="H6" s="16" t="n">
        <v>42000</v>
      </c>
      <c r="I6" s="16" t="n">
        <v>12</v>
      </c>
      <c r="J6" s="24" t="n">
        <v>6800000</v>
      </c>
      <c r="K6" s="16" t="n">
        <v>34</v>
      </c>
      <c r="L6" s="25" t="n">
        <v>0.12</v>
      </c>
      <c r="M6" s="11" t="n">
        <f aca="false">IF(OR($J6="",$L6=""),"",$J6*$L6)</f>
        <v>816000</v>
      </c>
      <c r="N6" s="11" t="n">
        <f aca="false">IF($J6="","",$J6-$M6)</f>
        <v>5984000</v>
      </c>
      <c r="O6" s="11" t="n">
        <f aca="false">IFERROR(IF(OR($J6="",$F6=""),"",$J6/$F6*1000),"")</f>
        <v>800000</v>
      </c>
      <c r="P6" s="11" t="n">
        <f aca="false">IFERROR(IF(OR($J6="",$K6=""),"",$J6/$K6),"")</f>
        <v>200000</v>
      </c>
      <c r="Q6" s="11" t="n">
        <f aca="false">IFERROR(IF(OR($J6="",$H6="",$I6=""),"",$J6/($H6*$I6)*1000),"")</f>
        <v>13492.0634920635</v>
      </c>
      <c r="R6" s="23" t="s">
        <v>44</v>
      </c>
      <c r="S6" s="23" t="s">
        <v>89</v>
      </c>
      <c r="T6" s="23" t="s">
        <v>90</v>
      </c>
      <c r="U6" s="23" t="s">
        <v>91</v>
      </c>
      <c r="V6" s="26" t="n">
        <f aca="false">IF($J6="","",RANK($J6,$J$6:$J$105,0)+COUNTIF($J$6:$J6,$J6)-1)</f>
        <v>3</v>
      </c>
      <c r="W6" s="26" t="n">
        <f aca="false">IF($O6="","",RANK($O6,$O$6:$O$105,0)+COUNTIF($O$6:$O6,$O6)-1)</f>
        <v>1</v>
      </c>
    </row>
    <row r="7" customFormat="false" ht="15" hidden="false" customHeight="false" outlineLevel="0" collapsed="false">
      <c r="A7" s="9" t="n">
        <f aca="false">IF($B7="","",ROW()-5)</f>
        <v>2</v>
      </c>
      <c r="B7" s="23" t="s">
        <v>92</v>
      </c>
      <c r="C7" s="23" t="s">
        <v>93</v>
      </c>
      <c r="D7" s="23" t="s">
        <v>26</v>
      </c>
      <c r="E7" s="23" t="s">
        <v>94</v>
      </c>
      <c r="F7" s="16" t="n">
        <v>46000</v>
      </c>
      <c r="G7" s="9" t="str">
        <f aca="false">IF($F7="","",LOOKUP($F7,Referensi!$A$6:$A$10,Referensi!$B$6:$B$10))</f>
        <v>Micro</v>
      </c>
      <c r="H7" s="16" t="n">
        <v>118000</v>
      </c>
      <c r="I7" s="16" t="n">
        <v>20</v>
      </c>
      <c r="J7" s="24" t="n">
        <v>21400000</v>
      </c>
      <c r="K7" s="16" t="n">
        <v>102</v>
      </c>
      <c r="L7" s="25" t="n">
        <v>0.1</v>
      </c>
      <c r="M7" s="11" t="n">
        <f aca="false">IF(OR($J7="",$L7=""),"",$J7*$L7)</f>
        <v>2140000</v>
      </c>
      <c r="N7" s="11" t="n">
        <f aca="false">IF($J7="","",$J7-$M7)</f>
        <v>19260000</v>
      </c>
      <c r="O7" s="11" t="n">
        <f aca="false">IFERROR(IF(OR($J7="",$F7=""),"",$J7/$F7*1000),"")</f>
        <v>465217.391304348</v>
      </c>
      <c r="P7" s="11" t="n">
        <f aca="false">IFERROR(IF(OR($J7="",$K7=""),"",$J7/$K7),"")</f>
        <v>209803.921568627</v>
      </c>
      <c r="Q7" s="11" t="n">
        <f aca="false">IFERROR(IF(OR($J7="",$H7="",$I7=""),"",$J7/($H7*$I7)*1000),"")</f>
        <v>9067.79661016949</v>
      </c>
      <c r="R7" s="23" t="s">
        <v>44</v>
      </c>
      <c r="S7" s="23" t="s">
        <v>95</v>
      </c>
      <c r="T7" s="23" t="s">
        <v>90</v>
      </c>
      <c r="U7" s="23"/>
      <c r="V7" s="26" t="n">
        <f aca="false">IF($J7="","",RANK($J7,$J$6:$J$105,0)+COUNTIF($J$6:$J7,$J7)-1)</f>
        <v>2</v>
      </c>
      <c r="W7" s="26" t="n">
        <f aca="false">IF($O7="","",RANK($O7,$O$6:$O$105,0)+COUNTIF($O$6:$O7,$O7)-1)</f>
        <v>3</v>
      </c>
    </row>
    <row r="8" customFormat="false" ht="15" hidden="false" customHeight="false" outlineLevel="0" collapsed="false">
      <c r="A8" s="9" t="n">
        <f aca="false">IF($B8="","",ROW()-5)</f>
        <v>3</v>
      </c>
      <c r="B8" s="23" t="s">
        <v>96</v>
      </c>
      <c r="C8" s="23" t="s">
        <v>97</v>
      </c>
      <c r="D8" s="23" t="s">
        <v>27</v>
      </c>
      <c r="E8" s="23" t="s">
        <v>98</v>
      </c>
      <c r="F8" s="16" t="n">
        <v>132000</v>
      </c>
      <c r="G8" s="9" t="str">
        <f aca="false">IF($F8="","",LOOKUP($F8,Referensi!$A$6:$A$10,Referensi!$B$6:$B$10))</f>
        <v>Mid</v>
      </c>
      <c r="H8" s="16" t="n">
        <v>31000</v>
      </c>
      <c r="I8" s="16" t="n">
        <v>8</v>
      </c>
      <c r="J8" s="24" t="n">
        <v>4900000</v>
      </c>
      <c r="K8" s="16" t="n">
        <v>22</v>
      </c>
      <c r="L8" s="25" t="n">
        <v>0.15</v>
      </c>
      <c r="M8" s="11" t="n">
        <f aca="false">IF(OR($J8="",$L8=""),"",$J8*$L8)</f>
        <v>735000</v>
      </c>
      <c r="N8" s="11" t="n">
        <f aca="false">IF($J8="","",$J8-$M8)</f>
        <v>4165000</v>
      </c>
      <c r="O8" s="11" t="n">
        <f aca="false">IFERROR(IF(OR($J8="",$F8=""),"",$J8/$F8*1000),"")</f>
        <v>37121.2121212121</v>
      </c>
      <c r="P8" s="11" t="n">
        <f aca="false">IFERROR(IF(OR($J8="",$K8=""),"",$J8/$K8),"")</f>
        <v>222727.272727273</v>
      </c>
      <c r="Q8" s="11" t="n">
        <f aca="false">IFERROR(IF(OR($J8="",$H8="",$I8=""),"",$J8/($H8*$I8)*1000),"")</f>
        <v>19758.064516129</v>
      </c>
      <c r="R8" s="23" t="s">
        <v>46</v>
      </c>
      <c r="S8" s="23" t="s">
        <v>99</v>
      </c>
      <c r="T8" s="23" t="s">
        <v>90</v>
      </c>
      <c r="U8" s="23" t="s">
        <v>100</v>
      </c>
      <c r="V8" s="26" t="n">
        <f aca="false">IF($J8="","",RANK($J8,$J$6:$J$105,0)+COUNTIF($J$6:$J8,$J8)-1)</f>
        <v>4</v>
      </c>
      <c r="W8" s="26" t="n">
        <f aca="false">IF($O8="","",RANK($O8,$O$6:$O$105,0)+COUNTIF($O$6:$O8,$O8)-1)</f>
        <v>5</v>
      </c>
    </row>
    <row r="9" customFormat="false" ht="15" hidden="false" customHeight="false" outlineLevel="0" collapsed="false">
      <c r="A9" s="9" t="n">
        <f aca="false">IF($B9="","",ROW()-5)</f>
        <v>4</v>
      </c>
      <c r="B9" s="23" t="s">
        <v>101</v>
      </c>
      <c r="C9" s="23" t="s">
        <v>102</v>
      </c>
      <c r="D9" s="23" t="s">
        <v>25</v>
      </c>
      <c r="E9" s="23" t="s">
        <v>103</v>
      </c>
      <c r="F9" s="16" t="n">
        <v>610000</v>
      </c>
      <c r="G9" s="9" t="str">
        <f aca="false">IF($F9="","",LOOKUP($F9,Referensi!$A$6:$A$10,Referensi!$B$6:$B$10))</f>
        <v>Macro</v>
      </c>
      <c r="H9" s="16" t="n">
        <v>240000</v>
      </c>
      <c r="I9" s="16" t="n">
        <v>10</v>
      </c>
      <c r="J9" s="24" t="n">
        <v>33500000</v>
      </c>
      <c r="K9" s="16" t="n">
        <v>158</v>
      </c>
      <c r="L9" s="25" t="n">
        <v>0.1</v>
      </c>
      <c r="M9" s="11" t="n">
        <f aca="false">IF(OR($J9="",$L9=""),"",$J9*$L9)</f>
        <v>3350000</v>
      </c>
      <c r="N9" s="11" t="n">
        <f aca="false">IF($J9="","",$J9-$M9)</f>
        <v>30150000</v>
      </c>
      <c r="O9" s="11" t="n">
        <f aca="false">IFERROR(IF(OR($J9="",$F9=""),"",$J9/$F9*1000),"")</f>
        <v>54918.0327868853</v>
      </c>
      <c r="P9" s="11" t="n">
        <f aca="false">IFERROR(IF(OR($J9="",$K9=""),"",$J9/$K9),"")</f>
        <v>212025.316455696</v>
      </c>
      <c r="Q9" s="11" t="n">
        <f aca="false">IFERROR(IF(OR($J9="",$H9="",$I9=""),"",$J9/($H9*$I9)*1000),"")</f>
        <v>13958.3333333333</v>
      </c>
      <c r="R9" s="23" t="s">
        <v>44</v>
      </c>
      <c r="S9" s="23" t="s">
        <v>104</v>
      </c>
      <c r="T9" s="23" t="s">
        <v>90</v>
      </c>
      <c r="U9" s="23"/>
      <c r="V9" s="26" t="n">
        <f aca="false">IF($J9="","",RANK($J9,$J$6:$J$105,0)+COUNTIF($J$6:$J9,$J9)-1)</f>
        <v>1</v>
      </c>
      <c r="W9" s="26" t="n">
        <f aca="false">IF($O9="","",RANK($O9,$O$6:$O$105,0)+COUNTIF($O$6:$O9,$O9)-1)</f>
        <v>4</v>
      </c>
    </row>
    <row r="10" customFormat="false" ht="15" hidden="false" customHeight="false" outlineLevel="0" collapsed="false">
      <c r="A10" s="9" t="n">
        <f aca="false">IF($B10="","",ROW()-5)</f>
        <v>5</v>
      </c>
      <c r="B10" s="23" t="s">
        <v>105</v>
      </c>
      <c r="C10" s="23" t="s">
        <v>106</v>
      </c>
      <c r="D10" s="23" t="s">
        <v>28</v>
      </c>
      <c r="E10" s="23" t="s">
        <v>107</v>
      </c>
      <c r="F10" s="16" t="n">
        <v>3200</v>
      </c>
      <c r="G10" s="9" t="str">
        <f aca="false">IF($F10="","",LOOKUP($F10,Referensi!$A$6:$A$10,Referensi!$B$6:$B$10))</f>
        <v>Nano</v>
      </c>
      <c r="H10" s="16" t="n">
        <v>11000</v>
      </c>
      <c r="I10" s="16" t="n">
        <v>24</v>
      </c>
      <c r="J10" s="24" t="n">
        <v>2150000</v>
      </c>
      <c r="K10" s="16" t="n">
        <v>13</v>
      </c>
      <c r="L10" s="25" t="n">
        <v>0.12</v>
      </c>
      <c r="M10" s="11" t="n">
        <f aca="false">IF(OR($J10="",$L10=""),"",$J10*$L10)</f>
        <v>258000</v>
      </c>
      <c r="N10" s="11" t="n">
        <f aca="false">IF($J10="","",$J10-$M10)</f>
        <v>1892000</v>
      </c>
      <c r="O10" s="11" t="n">
        <f aca="false">IFERROR(IF(OR($J10="",$F10=""),"",$J10/$F10*1000),"")</f>
        <v>671875</v>
      </c>
      <c r="P10" s="11" t="n">
        <f aca="false">IFERROR(IF(OR($J10="",$K10=""),"",$J10/$K10),"")</f>
        <v>165384.615384615</v>
      </c>
      <c r="Q10" s="11" t="n">
        <f aca="false">IFERROR(IF(OR($J10="",$H10="",$I10=""),"",$J10/($H10*$I10)*1000),"")</f>
        <v>8143.9393939394</v>
      </c>
      <c r="R10" s="23" t="s">
        <v>45</v>
      </c>
      <c r="S10" s="23" t="s">
        <v>108</v>
      </c>
      <c r="T10" s="23" t="s">
        <v>90</v>
      </c>
      <c r="U10" s="23"/>
      <c r="V10" s="26" t="n">
        <f aca="false">IF($J10="","",RANK($J10,$J$6:$J$105,0)+COUNTIF($J$6:$J10,$J10)-1)</f>
        <v>5</v>
      </c>
      <c r="W10" s="26" t="n">
        <f aca="false">IF($O10="","",RANK($O10,$O$6:$O$105,0)+COUNTIF($O$6:$O10,$O10)-1)</f>
        <v>2</v>
      </c>
    </row>
    <row r="11" customFormat="false" ht="15" hidden="false" customHeight="false" outlineLevel="0" collapsed="false">
      <c r="A11" s="9" t="str">
        <f aca="false">IF($B11="","",ROW()-5)</f>
        <v/>
      </c>
      <c r="B11" s="23"/>
      <c r="C11" s="23"/>
      <c r="D11" s="23"/>
      <c r="E11" s="23"/>
      <c r="F11" s="16"/>
      <c r="G11" s="9" t="str">
        <f aca="false">IF($F11="","",LOOKUP($F11,Referensi!$A$6:$A$10,Referensi!$B$6:$B$10))</f>
        <v/>
      </c>
      <c r="H11" s="16"/>
      <c r="I11" s="16"/>
      <c r="J11" s="24"/>
      <c r="K11" s="16"/>
      <c r="L11" s="25"/>
      <c r="M11" s="11" t="str">
        <f aca="false">IF(OR($J11="",$L11=""),"",$J11*$L11)</f>
        <v/>
      </c>
      <c r="N11" s="11" t="str">
        <f aca="false">IF($J11="","",$J11-$M11)</f>
        <v/>
      </c>
      <c r="O11" s="11" t="str">
        <f aca="false">IFERROR(IF(OR($J11="",$F11=""),"",$J11/$F11*1000),"")</f>
        <v/>
      </c>
      <c r="P11" s="11" t="str">
        <f aca="false">IFERROR(IF(OR($J11="",$K11=""),"",$J11/$K11),"")</f>
        <v/>
      </c>
      <c r="Q11" s="11" t="str">
        <f aca="false">IFERROR(IF(OR($J11="",$H11="",$I11=""),"",$J11/($H11*$I11)*1000),"")</f>
        <v/>
      </c>
      <c r="R11" s="23"/>
      <c r="S11" s="23"/>
      <c r="T11" s="23"/>
      <c r="U11" s="23"/>
      <c r="V11" s="26" t="str">
        <f aca="false">IF($J11="","",RANK($J11,$J$6:$J$105,0)+COUNTIF($J$6:$J11,$J11)-1)</f>
        <v/>
      </c>
      <c r="W11" s="26" t="str">
        <f aca="false">IF($O11="","",RANK($O11,$O$6:$O$105,0)+COUNTIF($O$6:$O11,$O11)-1)</f>
        <v/>
      </c>
    </row>
    <row r="12" customFormat="false" ht="15" hidden="false" customHeight="false" outlineLevel="0" collapsed="false">
      <c r="A12" s="9" t="str">
        <f aca="false">IF($B12="","",ROW()-5)</f>
        <v/>
      </c>
      <c r="B12" s="23"/>
      <c r="C12" s="23"/>
      <c r="D12" s="23"/>
      <c r="E12" s="23"/>
      <c r="F12" s="16"/>
      <c r="G12" s="9" t="str">
        <f aca="false">IF($F12="","",LOOKUP($F12,Referensi!$A$6:$A$10,Referensi!$B$6:$B$10))</f>
        <v/>
      </c>
      <c r="H12" s="16"/>
      <c r="I12" s="16"/>
      <c r="J12" s="24"/>
      <c r="K12" s="16"/>
      <c r="L12" s="25"/>
      <c r="M12" s="11" t="str">
        <f aca="false">IF(OR($J12="",$L12=""),"",$J12*$L12)</f>
        <v/>
      </c>
      <c r="N12" s="11" t="str">
        <f aca="false">IF($J12="","",$J12-$M12)</f>
        <v/>
      </c>
      <c r="O12" s="11" t="str">
        <f aca="false">IFERROR(IF(OR($J12="",$F12=""),"",$J12/$F12*1000),"")</f>
        <v/>
      </c>
      <c r="P12" s="11" t="str">
        <f aca="false">IFERROR(IF(OR($J12="",$K12=""),"",$J12/$K12),"")</f>
        <v/>
      </c>
      <c r="Q12" s="11" t="str">
        <f aca="false">IFERROR(IF(OR($J12="",$H12="",$I12=""),"",$J12/($H12*$I12)*1000),"")</f>
        <v/>
      </c>
      <c r="R12" s="23"/>
      <c r="S12" s="23"/>
      <c r="T12" s="23"/>
      <c r="U12" s="23"/>
      <c r="V12" s="26" t="str">
        <f aca="false">IF($J12="","",RANK($J12,$J$6:$J$105,0)+COUNTIF($J$6:$J12,$J12)-1)</f>
        <v/>
      </c>
      <c r="W12" s="26" t="str">
        <f aca="false">IF($O12="","",RANK($O12,$O$6:$O$105,0)+COUNTIF($O$6:$O12,$O12)-1)</f>
        <v/>
      </c>
    </row>
    <row r="13" customFormat="false" ht="15" hidden="false" customHeight="false" outlineLevel="0" collapsed="false">
      <c r="A13" s="9" t="str">
        <f aca="false">IF($B13="","",ROW()-5)</f>
        <v/>
      </c>
      <c r="B13" s="23"/>
      <c r="C13" s="23"/>
      <c r="D13" s="23"/>
      <c r="E13" s="23"/>
      <c r="F13" s="16"/>
      <c r="G13" s="9" t="str">
        <f aca="false">IF($F13="","",LOOKUP($F13,Referensi!$A$6:$A$10,Referensi!$B$6:$B$10))</f>
        <v/>
      </c>
      <c r="H13" s="16"/>
      <c r="I13" s="16"/>
      <c r="J13" s="24"/>
      <c r="K13" s="16"/>
      <c r="L13" s="25"/>
      <c r="M13" s="11" t="str">
        <f aca="false">IF(OR($J13="",$L13=""),"",$J13*$L13)</f>
        <v/>
      </c>
      <c r="N13" s="11" t="str">
        <f aca="false">IF($J13="","",$J13-$M13)</f>
        <v/>
      </c>
      <c r="O13" s="11" t="str">
        <f aca="false">IFERROR(IF(OR($J13="",$F13=""),"",$J13/$F13*1000),"")</f>
        <v/>
      </c>
      <c r="P13" s="11" t="str">
        <f aca="false">IFERROR(IF(OR($J13="",$K13=""),"",$J13/$K13),"")</f>
        <v/>
      </c>
      <c r="Q13" s="11" t="str">
        <f aca="false">IFERROR(IF(OR($J13="",$H13="",$I13=""),"",$J13/($H13*$I13)*1000),"")</f>
        <v/>
      </c>
      <c r="R13" s="23"/>
      <c r="S13" s="23"/>
      <c r="T13" s="23"/>
      <c r="U13" s="23"/>
      <c r="V13" s="26" t="str">
        <f aca="false">IF($J13="","",RANK($J13,$J$6:$J$105,0)+COUNTIF($J$6:$J13,$J13)-1)</f>
        <v/>
      </c>
      <c r="W13" s="26" t="str">
        <f aca="false">IF($O13="","",RANK($O13,$O$6:$O$105,0)+COUNTIF($O$6:$O13,$O13)-1)</f>
        <v/>
      </c>
    </row>
    <row r="14" customFormat="false" ht="15" hidden="false" customHeight="false" outlineLevel="0" collapsed="false">
      <c r="A14" s="9" t="str">
        <f aca="false">IF($B14="","",ROW()-5)</f>
        <v/>
      </c>
      <c r="B14" s="23"/>
      <c r="C14" s="23"/>
      <c r="D14" s="23"/>
      <c r="E14" s="23"/>
      <c r="F14" s="16"/>
      <c r="G14" s="9" t="str">
        <f aca="false">IF($F14="","",LOOKUP($F14,Referensi!$A$6:$A$10,Referensi!$B$6:$B$10))</f>
        <v/>
      </c>
      <c r="H14" s="16"/>
      <c r="I14" s="16"/>
      <c r="J14" s="24"/>
      <c r="K14" s="16"/>
      <c r="L14" s="25"/>
      <c r="M14" s="11" t="str">
        <f aca="false">IF(OR($J14="",$L14=""),"",$J14*$L14)</f>
        <v/>
      </c>
      <c r="N14" s="11" t="str">
        <f aca="false">IF($J14="","",$J14-$M14)</f>
        <v/>
      </c>
      <c r="O14" s="11" t="str">
        <f aca="false">IFERROR(IF(OR($J14="",$F14=""),"",$J14/$F14*1000),"")</f>
        <v/>
      </c>
      <c r="P14" s="11" t="str">
        <f aca="false">IFERROR(IF(OR($J14="",$K14=""),"",$J14/$K14),"")</f>
        <v/>
      </c>
      <c r="Q14" s="11" t="str">
        <f aca="false">IFERROR(IF(OR($J14="",$H14="",$I14=""),"",$J14/($H14*$I14)*1000),"")</f>
        <v/>
      </c>
      <c r="R14" s="23"/>
      <c r="S14" s="23"/>
      <c r="T14" s="23"/>
      <c r="U14" s="23"/>
      <c r="V14" s="26" t="str">
        <f aca="false">IF($J14="","",RANK($J14,$J$6:$J$105,0)+COUNTIF($J$6:$J14,$J14)-1)</f>
        <v/>
      </c>
      <c r="W14" s="26" t="str">
        <f aca="false">IF($O14="","",RANK($O14,$O$6:$O$105,0)+COUNTIF($O$6:$O14,$O14)-1)</f>
        <v/>
      </c>
    </row>
    <row r="15" customFormat="false" ht="15" hidden="false" customHeight="false" outlineLevel="0" collapsed="false">
      <c r="A15" s="9" t="str">
        <f aca="false">IF($B15="","",ROW()-5)</f>
        <v/>
      </c>
      <c r="B15" s="23"/>
      <c r="C15" s="23"/>
      <c r="D15" s="23"/>
      <c r="E15" s="23"/>
      <c r="F15" s="16"/>
      <c r="G15" s="9" t="str">
        <f aca="false">IF($F15="","",LOOKUP($F15,Referensi!$A$6:$A$10,Referensi!$B$6:$B$10))</f>
        <v/>
      </c>
      <c r="H15" s="16"/>
      <c r="I15" s="16"/>
      <c r="J15" s="24"/>
      <c r="K15" s="16"/>
      <c r="L15" s="25"/>
      <c r="M15" s="11" t="str">
        <f aca="false">IF(OR($J15="",$L15=""),"",$J15*$L15)</f>
        <v/>
      </c>
      <c r="N15" s="11" t="str">
        <f aca="false">IF($J15="","",$J15-$M15)</f>
        <v/>
      </c>
      <c r="O15" s="11" t="str">
        <f aca="false">IFERROR(IF(OR($J15="",$F15=""),"",$J15/$F15*1000),"")</f>
        <v/>
      </c>
      <c r="P15" s="11" t="str">
        <f aca="false">IFERROR(IF(OR($J15="",$K15=""),"",$J15/$K15),"")</f>
        <v/>
      </c>
      <c r="Q15" s="11" t="str">
        <f aca="false">IFERROR(IF(OR($J15="",$H15="",$I15=""),"",$J15/($H15*$I15)*1000),"")</f>
        <v/>
      </c>
      <c r="R15" s="23"/>
      <c r="S15" s="23"/>
      <c r="T15" s="23"/>
      <c r="U15" s="23"/>
      <c r="V15" s="26" t="str">
        <f aca="false">IF($J15="","",RANK($J15,$J$6:$J$105,0)+COUNTIF($J$6:$J15,$J15)-1)</f>
        <v/>
      </c>
      <c r="W15" s="26" t="str">
        <f aca="false">IF($O15="","",RANK($O15,$O$6:$O$105,0)+COUNTIF($O$6:$O15,$O15)-1)</f>
        <v/>
      </c>
    </row>
    <row r="16" customFormat="false" ht="15" hidden="false" customHeight="false" outlineLevel="0" collapsed="false">
      <c r="A16" s="9" t="str">
        <f aca="false">IF($B16="","",ROW()-5)</f>
        <v/>
      </c>
      <c r="B16" s="23"/>
      <c r="C16" s="23"/>
      <c r="D16" s="23"/>
      <c r="E16" s="23"/>
      <c r="F16" s="16"/>
      <c r="G16" s="9" t="str">
        <f aca="false">IF($F16="","",LOOKUP($F16,Referensi!$A$6:$A$10,Referensi!$B$6:$B$10))</f>
        <v/>
      </c>
      <c r="H16" s="16"/>
      <c r="I16" s="16"/>
      <c r="J16" s="24"/>
      <c r="K16" s="16"/>
      <c r="L16" s="25"/>
      <c r="M16" s="11" t="str">
        <f aca="false">IF(OR($J16="",$L16=""),"",$J16*$L16)</f>
        <v/>
      </c>
      <c r="N16" s="11" t="str">
        <f aca="false">IF($J16="","",$J16-$M16)</f>
        <v/>
      </c>
      <c r="O16" s="11" t="str">
        <f aca="false">IFERROR(IF(OR($J16="",$F16=""),"",$J16/$F16*1000),"")</f>
        <v/>
      </c>
      <c r="P16" s="11" t="str">
        <f aca="false">IFERROR(IF(OR($J16="",$K16=""),"",$J16/$K16),"")</f>
        <v/>
      </c>
      <c r="Q16" s="11" t="str">
        <f aca="false">IFERROR(IF(OR($J16="",$H16="",$I16=""),"",$J16/($H16*$I16)*1000),"")</f>
        <v/>
      </c>
      <c r="R16" s="23"/>
      <c r="S16" s="23"/>
      <c r="T16" s="23"/>
      <c r="U16" s="23"/>
      <c r="V16" s="26" t="str">
        <f aca="false">IF($J16="","",RANK($J16,$J$6:$J$105,0)+COUNTIF($J$6:$J16,$J16)-1)</f>
        <v/>
      </c>
      <c r="W16" s="26" t="str">
        <f aca="false">IF($O16="","",RANK($O16,$O$6:$O$105,0)+COUNTIF($O$6:$O16,$O16)-1)</f>
        <v/>
      </c>
    </row>
    <row r="17" customFormat="false" ht="15" hidden="false" customHeight="false" outlineLevel="0" collapsed="false">
      <c r="A17" s="9" t="str">
        <f aca="false">IF($B17="","",ROW()-5)</f>
        <v/>
      </c>
      <c r="B17" s="23"/>
      <c r="C17" s="23"/>
      <c r="D17" s="23"/>
      <c r="E17" s="23"/>
      <c r="F17" s="16"/>
      <c r="G17" s="9" t="str">
        <f aca="false">IF($F17="","",LOOKUP($F17,Referensi!$A$6:$A$10,Referensi!$B$6:$B$10))</f>
        <v/>
      </c>
      <c r="H17" s="16"/>
      <c r="I17" s="16"/>
      <c r="J17" s="24"/>
      <c r="K17" s="16"/>
      <c r="L17" s="25"/>
      <c r="M17" s="11" t="str">
        <f aca="false">IF(OR($J17="",$L17=""),"",$J17*$L17)</f>
        <v/>
      </c>
      <c r="N17" s="11" t="str">
        <f aca="false">IF($J17="","",$J17-$M17)</f>
        <v/>
      </c>
      <c r="O17" s="11" t="str">
        <f aca="false">IFERROR(IF(OR($J17="",$F17=""),"",$J17/$F17*1000),"")</f>
        <v/>
      </c>
      <c r="P17" s="11" t="str">
        <f aca="false">IFERROR(IF(OR($J17="",$K17=""),"",$J17/$K17),"")</f>
        <v/>
      </c>
      <c r="Q17" s="11" t="str">
        <f aca="false">IFERROR(IF(OR($J17="",$H17="",$I17=""),"",$J17/($H17*$I17)*1000),"")</f>
        <v/>
      </c>
      <c r="R17" s="23"/>
      <c r="S17" s="23"/>
      <c r="T17" s="23"/>
      <c r="U17" s="23"/>
      <c r="V17" s="26" t="str">
        <f aca="false">IF($J17="","",RANK($J17,$J$6:$J$105,0)+COUNTIF($J$6:$J17,$J17)-1)</f>
        <v/>
      </c>
      <c r="W17" s="26" t="str">
        <f aca="false">IF($O17="","",RANK($O17,$O$6:$O$105,0)+COUNTIF($O$6:$O17,$O17)-1)</f>
        <v/>
      </c>
    </row>
    <row r="18" customFormat="false" ht="15" hidden="false" customHeight="false" outlineLevel="0" collapsed="false">
      <c r="A18" s="9" t="str">
        <f aca="false">IF($B18="","",ROW()-5)</f>
        <v/>
      </c>
      <c r="B18" s="23"/>
      <c r="C18" s="23"/>
      <c r="D18" s="23"/>
      <c r="E18" s="23"/>
      <c r="F18" s="16"/>
      <c r="G18" s="9" t="str">
        <f aca="false">IF($F18="","",LOOKUP($F18,Referensi!$A$6:$A$10,Referensi!$B$6:$B$10))</f>
        <v/>
      </c>
      <c r="H18" s="16"/>
      <c r="I18" s="16"/>
      <c r="J18" s="24"/>
      <c r="K18" s="16"/>
      <c r="L18" s="25"/>
      <c r="M18" s="11" t="str">
        <f aca="false">IF(OR($J18="",$L18=""),"",$J18*$L18)</f>
        <v/>
      </c>
      <c r="N18" s="11" t="str">
        <f aca="false">IF($J18="","",$J18-$M18)</f>
        <v/>
      </c>
      <c r="O18" s="11" t="str">
        <f aca="false">IFERROR(IF(OR($J18="",$F18=""),"",$J18/$F18*1000),"")</f>
        <v/>
      </c>
      <c r="P18" s="11" t="str">
        <f aca="false">IFERROR(IF(OR($J18="",$K18=""),"",$J18/$K18),"")</f>
        <v/>
      </c>
      <c r="Q18" s="11" t="str">
        <f aca="false">IFERROR(IF(OR($J18="",$H18="",$I18=""),"",$J18/($H18*$I18)*1000),"")</f>
        <v/>
      </c>
      <c r="R18" s="23"/>
      <c r="S18" s="23"/>
      <c r="T18" s="23"/>
      <c r="U18" s="23"/>
      <c r="V18" s="26" t="str">
        <f aca="false">IF($J18="","",RANK($J18,$J$6:$J$105,0)+COUNTIF($J$6:$J18,$J18)-1)</f>
        <v/>
      </c>
      <c r="W18" s="26" t="str">
        <f aca="false">IF($O18="","",RANK($O18,$O$6:$O$105,0)+COUNTIF($O$6:$O18,$O18)-1)</f>
        <v/>
      </c>
    </row>
    <row r="19" customFormat="false" ht="15" hidden="false" customHeight="false" outlineLevel="0" collapsed="false">
      <c r="A19" s="9" t="str">
        <f aca="false">IF($B19="","",ROW()-5)</f>
        <v/>
      </c>
      <c r="B19" s="23"/>
      <c r="C19" s="23"/>
      <c r="D19" s="23"/>
      <c r="E19" s="23"/>
      <c r="F19" s="16"/>
      <c r="G19" s="9" t="str">
        <f aca="false">IF($F19="","",LOOKUP($F19,Referensi!$A$6:$A$10,Referensi!$B$6:$B$10))</f>
        <v/>
      </c>
      <c r="H19" s="16"/>
      <c r="I19" s="16"/>
      <c r="J19" s="24"/>
      <c r="K19" s="16"/>
      <c r="L19" s="25"/>
      <c r="M19" s="11" t="str">
        <f aca="false">IF(OR($J19="",$L19=""),"",$J19*$L19)</f>
        <v/>
      </c>
      <c r="N19" s="11" t="str">
        <f aca="false">IF($J19="","",$J19-$M19)</f>
        <v/>
      </c>
      <c r="O19" s="11" t="str">
        <f aca="false">IFERROR(IF(OR($J19="",$F19=""),"",$J19/$F19*1000),"")</f>
        <v/>
      </c>
      <c r="P19" s="11" t="str">
        <f aca="false">IFERROR(IF(OR($J19="",$K19=""),"",$J19/$K19),"")</f>
        <v/>
      </c>
      <c r="Q19" s="11" t="str">
        <f aca="false">IFERROR(IF(OR($J19="",$H19="",$I19=""),"",$J19/($H19*$I19)*1000),"")</f>
        <v/>
      </c>
      <c r="R19" s="23"/>
      <c r="S19" s="23"/>
      <c r="T19" s="23"/>
      <c r="U19" s="23"/>
      <c r="V19" s="26" t="str">
        <f aca="false">IF($J19="","",RANK($J19,$J$6:$J$105,0)+COUNTIF($J$6:$J19,$J19)-1)</f>
        <v/>
      </c>
      <c r="W19" s="26" t="str">
        <f aca="false">IF($O19="","",RANK($O19,$O$6:$O$105,0)+COUNTIF($O$6:$O19,$O19)-1)</f>
        <v/>
      </c>
    </row>
    <row r="20" customFormat="false" ht="15" hidden="false" customHeight="false" outlineLevel="0" collapsed="false">
      <c r="A20" s="9" t="str">
        <f aca="false">IF($B20="","",ROW()-5)</f>
        <v/>
      </c>
      <c r="B20" s="23"/>
      <c r="C20" s="23"/>
      <c r="D20" s="23"/>
      <c r="E20" s="23"/>
      <c r="F20" s="16"/>
      <c r="G20" s="9" t="str">
        <f aca="false">IF($F20="","",LOOKUP($F20,Referensi!$A$6:$A$10,Referensi!$B$6:$B$10))</f>
        <v/>
      </c>
      <c r="H20" s="16"/>
      <c r="I20" s="16"/>
      <c r="J20" s="24"/>
      <c r="K20" s="16"/>
      <c r="L20" s="25"/>
      <c r="M20" s="11" t="str">
        <f aca="false">IF(OR($J20="",$L20=""),"",$J20*$L20)</f>
        <v/>
      </c>
      <c r="N20" s="11" t="str">
        <f aca="false">IF($J20="","",$J20-$M20)</f>
        <v/>
      </c>
      <c r="O20" s="11" t="str">
        <f aca="false">IFERROR(IF(OR($J20="",$F20=""),"",$J20/$F20*1000),"")</f>
        <v/>
      </c>
      <c r="P20" s="11" t="str">
        <f aca="false">IFERROR(IF(OR($J20="",$K20=""),"",$J20/$K20),"")</f>
        <v/>
      </c>
      <c r="Q20" s="11" t="str">
        <f aca="false">IFERROR(IF(OR($J20="",$H20="",$I20=""),"",$J20/($H20*$I20)*1000),"")</f>
        <v/>
      </c>
      <c r="R20" s="23"/>
      <c r="S20" s="23"/>
      <c r="T20" s="23"/>
      <c r="U20" s="23"/>
      <c r="V20" s="26" t="str">
        <f aca="false">IF($J20="","",RANK($J20,$J$6:$J$105,0)+COUNTIF($J$6:$J20,$J20)-1)</f>
        <v/>
      </c>
      <c r="W20" s="26" t="str">
        <f aca="false">IF($O20="","",RANK($O20,$O$6:$O$105,0)+COUNTIF($O$6:$O20,$O20)-1)</f>
        <v/>
      </c>
    </row>
    <row r="21" customFormat="false" ht="15" hidden="false" customHeight="false" outlineLevel="0" collapsed="false">
      <c r="A21" s="9" t="str">
        <f aca="false">IF($B21="","",ROW()-5)</f>
        <v/>
      </c>
      <c r="B21" s="23"/>
      <c r="C21" s="23"/>
      <c r="D21" s="23"/>
      <c r="E21" s="23"/>
      <c r="F21" s="16"/>
      <c r="G21" s="9" t="str">
        <f aca="false">IF($F21="","",LOOKUP($F21,Referensi!$A$6:$A$10,Referensi!$B$6:$B$10))</f>
        <v/>
      </c>
      <c r="H21" s="16"/>
      <c r="I21" s="16"/>
      <c r="J21" s="24"/>
      <c r="K21" s="16"/>
      <c r="L21" s="25"/>
      <c r="M21" s="11" t="str">
        <f aca="false">IF(OR($J21="",$L21=""),"",$J21*$L21)</f>
        <v/>
      </c>
      <c r="N21" s="11" t="str">
        <f aca="false">IF($J21="","",$J21-$M21)</f>
        <v/>
      </c>
      <c r="O21" s="11" t="str">
        <f aca="false">IFERROR(IF(OR($J21="",$F21=""),"",$J21/$F21*1000),"")</f>
        <v/>
      </c>
      <c r="P21" s="11" t="str">
        <f aca="false">IFERROR(IF(OR($J21="",$K21=""),"",$J21/$K21),"")</f>
        <v/>
      </c>
      <c r="Q21" s="11" t="str">
        <f aca="false">IFERROR(IF(OR($J21="",$H21="",$I21=""),"",$J21/($H21*$I21)*1000),"")</f>
        <v/>
      </c>
      <c r="R21" s="23"/>
      <c r="S21" s="23"/>
      <c r="T21" s="23"/>
      <c r="U21" s="23"/>
      <c r="V21" s="26" t="str">
        <f aca="false">IF($J21="","",RANK($J21,$J$6:$J$105,0)+COUNTIF($J$6:$J21,$J21)-1)</f>
        <v/>
      </c>
      <c r="W21" s="26" t="str">
        <f aca="false">IF($O21="","",RANK($O21,$O$6:$O$105,0)+COUNTIF($O$6:$O21,$O21)-1)</f>
        <v/>
      </c>
    </row>
    <row r="22" customFormat="false" ht="15" hidden="false" customHeight="false" outlineLevel="0" collapsed="false">
      <c r="A22" s="9" t="str">
        <f aca="false">IF($B22="","",ROW()-5)</f>
        <v/>
      </c>
      <c r="B22" s="23"/>
      <c r="C22" s="23"/>
      <c r="D22" s="23"/>
      <c r="E22" s="23"/>
      <c r="F22" s="16"/>
      <c r="G22" s="9" t="str">
        <f aca="false">IF($F22="","",LOOKUP($F22,Referensi!$A$6:$A$10,Referensi!$B$6:$B$10))</f>
        <v/>
      </c>
      <c r="H22" s="16"/>
      <c r="I22" s="16"/>
      <c r="J22" s="24"/>
      <c r="K22" s="16"/>
      <c r="L22" s="25"/>
      <c r="M22" s="11" t="str">
        <f aca="false">IF(OR($J22="",$L22=""),"",$J22*$L22)</f>
        <v/>
      </c>
      <c r="N22" s="11" t="str">
        <f aca="false">IF($J22="","",$J22-$M22)</f>
        <v/>
      </c>
      <c r="O22" s="11" t="str">
        <f aca="false">IFERROR(IF(OR($J22="",$F22=""),"",$J22/$F22*1000),"")</f>
        <v/>
      </c>
      <c r="P22" s="11" t="str">
        <f aca="false">IFERROR(IF(OR($J22="",$K22=""),"",$J22/$K22),"")</f>
        <v/>
      </c>
      <c r="Q22" s="11" t="str">
        <f aca="false">IFERROR(IF(OR($J22="",$H22="",$I22=""),"",$J22/($H22*$I22)*1000),"")</f>
        <v/>
      </c>
      <c r="R22" s="23"/>
      <c r="S22" s="23"/>
      <c r="T22" s="23"/>
      <c r="U22" s="23"/>
      <c r="V22" s="26" t="str">
        <f aca="false">IF($J22="","",RANK($J22,$J$6:$J$105,0)+COUNTIF($J$6:$J22,$J22)-1)</f>
        <v/>
      </c>
      <c r="W22" s="26" t="str">
        <f aca="false">IF($O22="","",RANK($O22,$O$6:$O$105,0)+COUNTIF($O$6:$O22,$O22)-1)</f>
        <v/>
      </c>
    </row>
    <row r="23" customFormat="false" ht="15" hidden="false" customHeight="false" outlineLevel="0" collapsed="false">
      <c r="A23" s="9" t="str">
        <f aca="false">IF($B23="","",ROW()-5)</f>
        <v/>
      </c>
      <c r="B23" s="23"/>
      <c r="C23" s="23"/>
      <c r="D23" s="23"/>
      <c r="E23" s="23"/>
      <c r="F23" s="16"/>
      <c r="G23" s="9" t="str">
        <f aca="false">IF($F23="","",LOOKUP($F23,Referensi!$A$6:$A$10,Referensi!$B$6:$B$10))</f>
        <v/>
      </c>
      <c r="H23" s="16"/>
      <c r="I23" s="16"/>
      <c r="J23" s="24"/>
      <c r="K23" s="16"/>
      <c r="L23" s="25"/>
      <c r="M23" s="11" t="str">
        <f aca="false">IF(OR($J23="",$L23=""),"",$J23*$L23)</f>
        <v/>
      </c>
      <c r="N23" s="11" t="str">
        <f aca="false">IF($J23="","",$J23-$M23)</f>
        <v/>
      </c>
      <c r="O23" s="11" t="str">
        <f aca="false">IFERROR(IF(OR($J23="",$F23=""),"",$J23/$F23*1000),"")</f>
        <v/>
      </c>
      <c r="P23" s="11" t="str">
        <f aca="false">IFERROR(IF(OR($J23="",$K23=""),"",$J23/$K23),"")</f>
        <v/>
      </c>
      <c r="Q23" s="11" t="str">
        <f aca="false">IFERROR(IF(OR($J23="",$H23="",$I23=""),"",$J23/($H23*$I23)*1000),"")</f>
        <v/>
      </c>
      <c r="R23" s="23"/>
      <c r="S23" s="23"/>
      <c r="T23" s="23"/>
      <c r="U23" s="23"/>
      <c r="V23" s="26" t="str">
        <f aca="false">IF($J23="","",RANK($J23,$J$6:$J$105,0)+COUNTIF($J$6:$J23,$J23)-1)</f>
        <v/>
      </c>
      <c r="W23" s="26" t="str">
        <f aca="false">IF($O23="","",RANK($O23,$O$6:$O$105,0)+COUNTIF($O$6:$O23,$O23)-1)</f>
        <v/>
      </c>
    </row>
    <row r="24" customFormat="false" ht="15" hidden="false" customHeight="false" outlineLevel="0" collapsed="false">
      <c r="A24" s="9" t="str">
        <f aca="false">IF($B24="","",ROW()-5)</f>
        <v/>
      </c>
      <c r="B24" s="23"/>
      <c r="C24" s="23"/>
      <c r="D24" s="23"/>
      <c r="E24" s="23"/>
      <c r="F24" s="16"/>
      <c r="G24" s="9" t="str">
        <f aca="false">IF($F24="","",LOOKUP($F24,Referensi!$A$6:$A$10,Referensi!$B$6:$B$10))</f>
        <v/>
      </c>
      <c r="H24" s="16"/>
      <c r="I24" s="16"/>
      <c r="J24" s="24"/>
      <c r="K24" s="16"/>
      <c r="L24" s="25"/>
      <c r="M24" s="11" t="str">
        <f aca="false">IF(OR($J24="",$L24=""),"",$J24*$L24)</f>
        <v/>
      </c>
      <c r="N24" s="11" t="str">
        <f aca="false">IF($J24="","",$J24-$M24)</f>
        <v/>
      </c>
      <c r="O24" s="11" t="str">
        <f aca="false">IFERROR(IF(OR($J24="",$F24=""),"",$J24/$F24*1000),"")</f>
        <v/>
      </c>
      <c r="P24" s="11" t="str">
        <f aca="false">IFERROR(IF(OR($J24="",$K24=""),"",$J24/$K24),"")</f>
        <v/>
      </c>
      <c r="Q24" s="11" t="str">
        <f aca="false">IFERROR(IF(OR($J24="",$H24="",$I24=""),"",$J24/($H24*$I24)*1000),"")</f>
        <v/>
      </c>
      <c r="R24" s="23"/>
      <c r="S24" s="23"/>
      <c r="T24" s="23"/>
      <c r="U24" s="23"/>
      <c r="V24" s="26" t="str">
        <f aca="false">IF($J24="","",RANK($J24,$J$6:$J$105,0)+COUNTIF($J$6:$J24,$J24)-1)</f>
        <v/>
      </c>
      <c r="W24" s="26" t="str">
        <f aca="false">IF($O24="","",RANK($O24,$O$6:$O$105,0)+COUNTIF($O$6:$O24,$O24)-1)</f>
        <v/>
      </c>
    </row>
    <row r="25" customFormat="false" ht="15" hidden="false" customHeight="false" outlineLevel="0" collapsed="false">
      <c r="A25" s="9" t="str">
        <f aca="false">IF($B25="","",ROW()-5)</f>
        <v/>
      </c>
      <c r="B25" s="23"/>
      <c r="C25" s="23"/>
      <c r="D25" s="23"/>
      <c r="E25" s="23"/>
      <c r="F25" s="16"/>
      <c r="G25" s="9" t="str">
        <f aca="false">IF($F25="","",LOOKUP($F25,Referensi!$A$6:$A$10,Referensi!$B$6:$B$10))</f>
        <v/>
      </c>
      <c r="H25" s="16"/>
      <c r="I25" s="16"/>
      <c r="J25" s="24"/>
      <c r="K25" s="16"/>
      <c r="L25" s="25"/>
      <c r="M25" s="11" t="str">
        <f aca="false">IF(OR($J25="",$L25=""),"",$J25*$L25)</f>
        <v/>
      </c>
      <c r="N25" s="11" t="str">
        <f aca="false">IF($J25="","",$J25-$M25)</f>
        <v/>
      </c>
      <c r="O25" s="11" t="str">
        <f aca="false">IFERROR(IF(OR($J25="",$F25=""),"",$J25/$F25*1000),"")</f>
        <v/>
      </c>
      <c r="P25" s="11" t="str">
        <f aca="false">IFERROR(IF(OR($J25="",$K25=""),"",$J25/$K25),"")</f>
        <v/>
      </c>
      <c r="Q25" s="11" t="str">
        <f aca="false">IFERROR(IF(OR($J25="",$H25="",$I25=""),"",$J25/($H25*$I25)*1000),"")</f>
        <v/>
      </c>
      <c r="R25" s="23"/>
      <c r="S25" s="23"/>
      <c r="T25" s="23"/>
      <c r="U25" s="23"/>
      <c r="V25" s="26" t="str">
        <f aca="false">IF($J25="","",RANK($J25,$J$6:$J$105,0)+COUNTIF($J$6:$J25,$J25)-1)</f>
        <v/>
      </c>
      <c r="W25" s="26" t="str">
        <f aca="false">IF($O25="","",RANK($O25,$O$6:$O$105,0)+COUNTIF($O$6:$O25,$O25)-1)</f>
        <v/>
      </c>
    </row>
    <row r="26" customFormat="false" ht="15" hidden="false" customHeight="false" outlineLevel="0" collapsed="false">
      <c r="A26" s="9" t="str">
        <f aca="false">IF($B26="","",ROW()-5)</f>
        <v/>
      </c>
      <c r="B26" s="23"/>
      <c r="C26" s="23"/>
      <c r="D26" s="23"/>
      <c r="E26" s="23"/>
      <c r="F26" s="16"/>
      <c r="G26" s="9" t="str">
        <f aca="false">IF($F26="","",LOOKUP($F26,Referensi!$A$6:$A$10,Referensi!$B$6:$B$10))</f>
        <v/>
      </c>
      <c r="H26" s="16"/>
      <c r="I26" s="16"/>
      <c r="J26" s="24"/>
      <c r="K26" s="16"/>
      <c r="L26" s="25"/>
      <c r="M26" s="11" t="str">
        <f aca="false">IF(OR($J26="",$L26=""),"",$J26*$L26)</f>
        <v/>
      </c>
      <c r="N26" s="11" t="str">
        <f aca="false">IF($J26="","",$J26-$M26)</f>
        <v/>
      </c>
      <c r="O26" s="11" t="str">
        <f aca="false">IFERROR(IF(OR($J26="",$F26=""),"",$J26/$F26*1000),"")</f>
        <v/>
      </c>
      <c r="P26" s="11" t="str">
        <f aca="false">IFERROR(IF(OR($J26="",$K26=""),"",$J26/$K26),"")</f>
        <v/>
      </c>
      <c r="Q26" s="11" t="str">
        <f aca="false">IFERROR(IF(OR($J26="",$H26="",$I26=""),"",$J26/($H26*$I26)*1000),"")</f>
        <v/>
      </c>
      <c r="R26" s="23"/>
      <c r="S26" s="23"/>
      <c r="T26" s="23"/>
      <c r="U26" s="23"/>
      <c r="V26" s="26" t="str">
        <f aca="false">IF($J26="","",RANK($J26,$J$6:$J$105,0)+COUNTIF($J$6:$J26,$J26)-1)</f>
        <v/>
      </c>
      <c r="W26" s="26" t="str">
        <f aca="false">IF($O26="","",RANK($O26,$O$6:$O$105,0)+COUNTIF($O$6:$O26,$O26)-1)</f>
        <v/>
      </c>
    </row>
    <row r="27" customFormat="false" ht="15" hidden="false" customHeight="false" outlineLevel="0" collapsed="false">
      <c r="A27" s="9" t="str">
        <f aca="false">IF($B27="","",ROW()-5)</f>
        <v/>
      </c>
      <c r="B27" s="23"/>
      <c r="C27" s="23"/>
      <c r="D27" s="23"/>
      <c r="E27" s="23"/>
      <c r="F27" s="16"/>
      <c r="G27" s="9" t="str">
        <f aca="false">IF($F27="","",LOOKUP($F27,Referensi!$A$6:$A$10,Referensi!$B$6:$B$10))</f>
        <v/>
      </c>
      <c r="H27" s="16"/>
      <c r="I27" s="16"/>
      <c r="J27" s="24"/>
      <c r="K27" s="16"/>
      <c r="L27" s="25"/>
      <c r="M27" s="11" t="str">
        <f aca="false">IF(OR($J27="",$L27=""),"",$J27*$L27)</f>
        <v/>
      </c>
      <c r="N27" s="11" t="str">
        <f aca="false">IF($J27="","",$J27-$M27)</f>
        <v/>
      </c>
      <c r="O27" s="11" t="str">
        <f aca="false">IFERROR(IF(OR($J27="",$F27=""),"",$J27/$F27*1000),"")</f>
        <v/>
      </c>
      <c r="P27" s="11" t="str">
        <f aca="false">IFERROR(IF(OR($J27="",$K27=""),"",$J27/$K27),"")</f>
        <v/>
      </c>
      <c r="Q27" s="11" t="str">
        <f aca="false">IFERROR(IF(OR($J27="",$H27="",$I27=""),"",$J27/($H27*$I27)*1000),"")</f>
        <v/>
      </c>
      <c r="R27" s="23"/>
      <c r="S27" s="23"/>
      <c r="T27" s="23"/>
      <c r="U27" s="23"/>
      <c r="V27" s="26" t="str">
        <f aca="false">IF($J27="","",RANK($J27,$J$6:$J$105,0)+COUNTIF($J$6:$J27,$J27)-1)</f>
        <v/>
      </c>
      <c r="W27" s="26" t="str">
        <f aca="false">IF($O27="","",RANK($O27,$O$6:$O$105,0)+COUNTIF($O$6:$O27,$O27)-1)</f>
        <v/>
      </c>
    </row>
    <row r="28" customFormat="false" ht="15" hidden="false" customHeight="false" outlineLevel="0" collapsed="false">
      <c r="A28" s="9" t="str">
        <f aca="false">IF($B28="","",ROW()-5)</f>
        <v/>
      </c>
      <c r="B28" s="23"/>
      <c r="C28" s="23"/>
      <c r="D28" s="23"/>
      <c r="E28" s="23"/>
      <c r="F28" s="16"/>
      <c r="G28" s="9" t="str">
        <f aca="false">IF($F28="","",LOOKUP($F28,Referensi!$A$6:$A$10,Referensi!$B$6:$B$10))</f>
        <v/>
      </c>
      <c r="H28" s="16"/>
      <c r="I28" s="16"/>
      <c r="J28" s="24"/>
      <c r="K28" s="16"/>
      <c r="L28" s="25"/>
      <c r="M28" s="11" t="str">
        <f aca="false">IF(OR($J28="",$L28=""),"",$J28*$L28)</f>
        <v/>
      </c>
      <c r="N28" s="11" t="str">
        <f aca="false">IF($J28="","",$J28-$M28)</f>
        <v/>
      </c>
      <c r="O28" s="11" t="str">
        <f aca="false">IFERROR(IF(OR($J28="",$F28=""),"",$J28/$F28*1000),"")</f>
        <v/>
      </c>
      <c r="P28" s="11" t="str">
        <f aca="false">IFERROR(IF(OR($J28="",$K28=""),"",$J28/$K28),"")</f>
        <v/>
      </c>
      <c r="Q28" s="11" t="str">
        <f aca="false">IFERROR(IF(OR($J28="",$H28="",$I28=""),"",$J28/($H28*$I28)*1000),"")</f>
        <v/>
      </c>
      <c r="R28" s="23"/>
      <c r="S28" s="23"/>
      <c r="T28" s="23"/>
      <c r="U28" s="23"/>
      <c r="V28" s="26" t="str">
        <f aca="false">IF($J28="","",RANK($J28,$J$6:$J$105,0)+COUNTIF($J$6:$J28,$J28)-1)</f>
        <v/>
      </c>
      <c r="W28" s="26" t="str">
        <f aca="false">IF($O28="","",RANK($O28,$O$6:$O$105,0)+COUNTIF($O$6:$O28,$O28)-1)</f>
        <v/>
      </c>
    </row>
    <row r="29" customFormat="false" ht="15" hidden="false" customHeight="false" outlineLevel="0" collapsed="false">
      <c r="A29" s="9" t="str">
        <f aca="false">IF($B29="","",ROW()-5)</f>
        <v/>
      </c>
      <c r="B29" s="23"/>
      <c r="C29" s="23"/>
      <c r="D29" s="23"/>
      <c r="E29" s="23"/>
      <c r="F29" s="16"/>
      <c r="G29" s="9" t="str">
        <f aca="false">IF($F29="","",LOOKUP($F29,Referensi!$A$6:$A$10,Referensi!$B$6:$B$10))</f>
        <v/>
      </c>
      <c r="H29" s="16"/>
      <c r="I29" s="16"/>
      <c r="J29" s="24"/>
      <c r="K29" s="16"/>
      <c r="L29" s="25"/>
      <c r="M29" s="11" t="str">
        <f aca="false">IF(OR($J29="",$L29=""),"",$J29*$L29)</f>
        <v/>
      </c>
      <c r="N29" s="11" t="str">
        <f aca="false">IF($J29="","",$J29-$M29)</f>
        <v/>
      </c>
      <c r="O29" s="11" t="str">
        <f aca="false">IFERROR(IF(OR($J29="",$F29=""),"",$J29/$F29*1000),"")</f>
        <v/>
      </c>
      <c r="P29" s="11" t="str">
        <f aca="false">IFERROR(IF(OR($J29="",$K29=""),"",$J29/$K29),"")</f>
        <v/>
      </c>
      <c r="Q29" s="11" t="str">
        <f aca="false">IFERROR(IF(OR($J29="",$H29="",$I29=""),"",$J29/($H29*$I29)*1000),"")</f>
        <v/>
      </c>
      <c r="R29" s="23"/>
      <c r="S29" s="23"/>
      <c r="T29" s="23"/>
      <c r="U29" s="23"/>
      <c r="V29" s="26" t="str">
        <f aca="false">IF($J29="","",RANK($J29,$J$6:$J$105,0)+COUNTIF($J$6:$J29,$J29)-1)</f>
        <v/>
      </c>
      <c r="W29" s="26" t="str">
        <f aca="false">IF($O29="","",RANK($O29,$O$6:$O$105,0)+COUNTIF($O$6:$O29,$O29)-1)</f>
        <v/>
      </c>
    </row>
    <row r="30" customFormat="false" ht="15" hidden="false" customHeight="false" outlineLevel="0" collapsed="false">
      <c r="A30" s="9" t="str">
        <f aca="false">IF($B30="","",ROW()-5)</f>
        <v/>
      </c>
      <c r="B30" s="23"/>
      <c r="C30" s="23"/>
      <c r="D30" s="23"/>
      <c r="E30" s="23"/>
      <c r="F30" s="16"/>
      <c r="G30" s="9" t="str">
        <f aca="false">IF($F30="","",LOOKUP($F30,Referensi!$A$6:$A$10,Referensi!$B$6:$B$10))</f>
        <v/>
      </c>
      <c r="H30" s="16"/>
      <c r="I30" s="16"/>
      <c r="J30" s="24"/>
      <c r="K30" s="16"/>
      <c r="L30" s="25"/>
      <c r="M30" s="11" t="str">
        <f aca="false">IF(OR($J30="",$L30=""),"",$J30*$L30)</f>
        <v/>
      </c>
      <c r="N30" s="11" t="str">
        <f aca="false">IF($J30="","",$J30-$M30)</f>
        <v/>
      </c>
      <c r="O30" s="11" t="str">
        <f aca="false">IFERROR(IF(OR($J30="",$F30=""),"",$J30/$F30*1000),"")</f>
        <v/>
      </c>
      <c r="P30" s="11" t="str">
        <f aca="false">IFERROR(IF(OR($J30="",$K30=""),"",$J30/$K30),"")</f>
        <v/>
      </c>
      <c r="Q30" s="11" t="str">
        <f aca="false">IFERROR(IF(OR($J30="",$H30="",$I30=""),"",$J30/($H30*$I30)*1000),"")</f>
        <v/>
      </c>
      <c r="R30" s="23"/>
      <c r="S30" s="23"/>
      <c r="T30" s="23"/>
      <c r="U30" s="23"/>
      <c r="V30" s="26" t="str">
        <f aca="false">IF($J30="","",RANK($J30,$J$6:$J$105,0)+COUNTIF($J$6:$J30,$J30)-1)</f>
        <v/>
      </c>
      <c r="W30" s="26" t="str">
        <f aca="false">IF($O30="","",RANK($O30,$O$6:$O$105,0)+COUNTIF($O$6:$O30,$O30)-1)</f>
        <v/>
      </c>
    </row>
    <row r="31" customFormat="false" ht="15" hidden="false" customHeight="false" outlineLevel="0" collapsed="false">
      <c r="A31" s="9" t="str">
        <f aca="false">IF($B31="","",ROW()-5)</f>
        <v/>
      </c>
      <c r="B31" s="23"/>
      <c r="C31" s="23"/>
      <c r="D31" s="23"/>
      <c r="E31" s="23"/>
      <c r="F31" s="16"/>
      <c r="G31" s="9" t="str">
        <f aca="false">IF($F31="","",LOOKUP($F31,Referensi!$A$6:$A$10,Referensi!$B$6:$B$10))</f>
        <v/>
      </c>
      <c r="H31" s="16"/>
      <c r="I31" s="16"/>
      <c r="J31" s="24"/>
      <c r="K31" s="16"/>
      <c r="L31" s="25"/>
      <c r="M31" s="11" t="str">
        <f aca="false">IF(OR($J31="",$L31=""),"",$J31*$L31)</f>
        <v/>
      </c>
      <c r="N31" s="11" t="str">
        <f aca="false">IF($J31="","",$J31-$M31)</f>
        <v/>
      </c>
      <c r="O31" s="11" t="str">
        <f aca="false">IFERROR(IF(OR($J31="",$F31=""),"",$J31/$F31*1000),"")</f>
        <v/>
      </c>
      <c r="P31" s="11" t="str">
        <f aca="false">IFERROR(IF(OR($J31="",$K31=""),"",$J31/$K31),"")</f>
        <v/>
      </c>
      <c r="Q31" s="11" t="str">
        <f aca="false">IFERROR(IF(OR($J31="",$H31="",$I31=""),"",$J31/($H31*$I31)*1000),"")</f>
        <v/>
      </c>
      <c r="R31" s="23"/>
      <c r="S31" s="23"/>
      <c r="T31" s="23"/>
      <c r="U31" s="23"/>
      <c r="V31" s="26" t="str">
        <f aca="false">IF($J31="","",RANK($J31,$J$6:$J$105,0)+COUNTIF($J$6:$J31,$J31)-1)</f>
        <v/>
      </c>
      <c r="W31" s="26" t="str">
        <f aca="false">IF($O31="","",RANK($O31,$O$6:$O$105,0)+COUNTIF($O$6:$O31,$O31)-1)</f>
        <v/>
      </c>
    </row>
    <row r="32" customFormat="false" ht="15" hidden="false" customHeight="false" outlineLevel="0" collapsed="false">
      <c r="A32" s="9" t="str">
        <f aca="false">IF($B32="","",ROW()-5)</f>
        <v/>
      </c>
      <c r="B32" s="23"/>
      <c r="C32" s="23"/>
      <c r="D32" s="23"/>
      <c r="E32" s="23"/>
      <c r="F32" s="16"/>
      <c r="G32" s="9" t="str">
        <f aca="false">IF($F32="","",LOOKUP($F32,Referensi!$A$6:$A$10,Referensi!$B$6:$B$10))</f>
        <v/>
      </c>
      <c r="H32" s="16"/>
      <c r="I32" s="16"/>
      <c r="J32" s="24"/>
      <c r="K32" s="16"/>
      <c r="L32" s="25"/>
      <c r="M32" s="11" t="str">
        <f aca="false">IF(OR($J32="",$L32=""),"",$J32*$L32)</f>
        <v/>
      </c>
      <c r="N32" s="11" t="str">
        <f aca="false">IF($J32="","",$J32-$M32)</f>
        <v/>
      </c>
      <c r="O32" s="11" t="str">
        <f aca="false">IFERROR(IF(OR($J32="",$F32=""),"",$J32/$F32*1000),"")</f>
        <v/>
      </c>
      <c r="P32" s="11" t="str">
        <f aca="false">IFERROR(IF(OR($J32="",$K32=""),"",$J32/$K32),"")</f>
        <v/>
      </c>
      <c r="Q32" s="11" t="str">
        <f aca="false">IFERROR(IF(OR($J32="",$H32="",$I32=""),"",$J32/($H32*$I32)*1000),"")</f>
        <v/>
      </c>
      <c r="R32" s="23"/>
      <c r="S32" s="23"/>
      <c r="T32" s="23"/>
      <c r="U32" s="23"/>
      <c r="V32" s="26" t="str">
        <f aca="false">IF($J32="","",RANK($J32,$J$6:$J$105,0)+COUNTIF($J$6:$J32,$J32)-1)</f>
        <v/>
      </c>
      <c r="W32" s="26" t="str">
        <f aca="false">IF($O32="","",RANK($O32,$O$6:$O$105,0)+COUNTIF($O$6:$O32,$O32)-1)</f>
        <v/>
      </c>
    </row>
    <row r="33" customFormat="false" ht="15" hidden="false" customHeight="false" outlineLevel="0" collapsed="false">
      <c r="A33" s="9" t="str">
        <f aca="false">IF($B33="","",ROW()-5)</f>
        <v/>
      </c>
      <c r="B33" s="23"/>
      <c r="C33" s="23"/>
      <c r="D33" s="23"/>
      <c r="E33" s="23"/>
      <c r="F33" s="16"/>
      <c r="G33" s="9" t="str">
        <f aca="false">IF($F33="","",LOOKUP($F33,Referensi!$A$6:$A$10,Referensi!$B$6:$B$10))</f>
        <v/>
      </c>
      <c r="H33" s="16"/>
      <c r="I33" s="16"/>
      <c r="J33" s="24"/>
      <c r="K33" s="16"/>
      <c r="L33" s="25"/>
      <c r="M33" s="11" t="str">
        <f aca="false">IF(OR($J33="",$L33=""),"",$J33*$L33)</f>
        <v/>
      </c>
      <c r="N33" s="11" t="str">
        <f aca="false">IF($J33="","",$J33-$M33)</f>
        <v/>
      </c>
      <c r="O33" s="11" t="str">
        <f aca="false">IFERROR(IF(OR($J33="",$F33=""),"",$J33/$F33*1000),"")</f>
        <v/>
      </c>
      <c r="P33" s="11" t="str">
        <f aca="false">IFERROR(IF(OR($J33="",$K33=""),"",$J33/$K33),"")</f>
        <v/>
      </c>
      <c r="Q33" s="11" t="str">
        <f aca="false">IFERROR(IF(OR($J33="",$H33="",$I33=""),"",$J33/($H33*$I33)*1000),"")</f>
        <v/>
      </c>
      <c r="R33" s="23"/>
      <c r="S33" s="23"/>
      <c r="T33" s="23"/>
      <c r="U33" s="23"/>
      <c r="V33" s="26" t="str">
        <f aca="false">IF($J33="","",RANK($J33,$J$6:$J$105,0)+COUNTIF($J$6:$J33,$J33)-1)</f>
        <v/>
      </c>
      <c r="W33" s="26" t="str">
        <f aca="false">IF($O33="","",RANK($O33,$O$6:$O$105,0)+COUNTIF($O$6:$O33,$O33)-1)</f>
        <v/>
      </c>
    </row>
    <row r="34" customFormat="false" ht="15" hidden="false" customHeight="false" outlineLevel="0" collapsed="false">
      <c r="A34" s="9" t="str">
        <f aca="false">IF($B34="","",ROW()-5)</f>
        <v/>
      </c>
      <c r="B34" s="23"/>
      <c r="C34" s="23"/>
      <c r="D34" s="23"/>
      <c r="E34" s="23"/>
      <c r="F34" s="16"/>
      <c r="G34" s="9" t="str">
        <f aca="false">IF($F34="","",LOOKUP($F34,Referensi!$A$6:$A$10,Referensi!$B$6:$B$10))</f>
        <v/>
      </c>
      <c r="H34" s="16"/>
      <c r="I34" s="16"/>
      <c r="J34" s="24"/>
      <c r="K34" s="16"/>
      <c r="L34" s="25"/>
      <c r="M34" s="11" t="str">
        <f aca="false">IF(OR($J34="",$L34=""),"",$J34*$L34)</f>
        <v/>
      </c>
      <c r="N34" s="11" t="str">
        <f aca="false">IF($J34="","",$J34-$M34)</f>
        <v/>
      </c>
      <c r="O34" s="11" t="str">
        <f aca="false">IFERROR(IF(OR($J34="",$F34=""),"",$J34/$F34*1000),"")</f>
        <v/>
      </c>
      <c r="P34" s="11" t="str">
        <f aca="false">IFERROR(IF(OR($J34="",$K34=""),"",$J34/$K34),"")</f>
        <v/>
      </c>
      <c r="Q34" s="11" t="str">
        <f aca="false">IFERROR(IF(OR($J34="",$H34="",$I34=""),"",$J34/($H34*$I34)*1000),"")</f>
        <v/>
      </c>
      <c r="R34" s="23"/>
      <c r="S34" s="23"/>
      <c r="T34" s="23"/>
      <c r="U34" s="23"/>
      <c r="V34" s="26" t="str">
        <f aca="false">IF($J34="","",RANK($J34,$J$6:$J$105,0)+COUNTIF($J$6:$J34,$J34)-1)</f>
        <v/>
      </c>
      <c r="W34" s="26" t="str">
        <f aca="false">IF($O34="","",RANK($O34,$O$6:$O$105,0)+COUNTIF($O$6:$O34,$O34)-1)</f>
        <v/>
      </c>
    </row>
    <row r="35" customFormat="false" ht="15" hidden="false" customHeight="false" outlineLevel="0" collapsed="false">
      <c r="A35" s="9" t="str">
        <f aca="false">IF($B35="","",ROW()-5)</f>
        <v/>
      </c>
      <c r="B35" s="23"/>
      <c r="C35" s="23"/>
      <c r="D35" s="23"/>
      <c r="E35" s="23"/>
      <c r="F35" s="16"/>
      <c r="G35" s="9" t="str">
        <f aca="false">IF($F35="","",LOOKUP($F35,Referensi!$A$6:$A$10,Referensi!$B$6:$B$10))</f>
        <v/>
      </c>
      <c r="H35" s="16"/>
      <c r="I35" s="16"/>
      <c r="J35" s="24"/>
      <c r="K35" s="16"/>
      <c r="L35" s="25"/>
      <c r="M35" s="11" t="str">
        <f aca="false">IF(OR($J35="",$L35=""),"",$J35*$L35)</f>
        <v/>
      </c>
      <c r="N35" s="11" t="str">
        <f aca="false">IF($J35="","",$J35-$M35)</f>
        <v/>
      </c>
      <c r="O35" s="11" t="str">
        <f aca="false">IFERROR(IF(OR($J35="",$F35=""),"",$J35/$F35*1000),"")</f>
        <v/>
      </c>
      <c r="P35" s="11" t="str">
        <f aca="false">IFERROR(IF(OR($J35="",$K35=""),"",$J35/$K35),"")</f>
        <v/>
      </c>
      <c r="Q35" s="11" t="str">
        <f aca="false">IFERROR(IF(OR($J35="",$H35="",$I35=""),"",$J35/($H35*$I35)*1000),"")</f>
        <v/>
      </c>
      <c r="R35" s="23"/>
      <c r="S35" s="23"/>
      <c r="T35" s="23"/>
      <c r="U35" s="23"/>
      <c r="V35" s="26" t="str">
        <f aca="false">IF($J35="","",RANK($J35,$J$6:$J$105,0)+COUNTIF($J$6:$J35,$J35)-1)</f>
        <v/>
      </c>
      <c r="W35" s="26" t="str">
        <f aca="false">IF($O35="","",RANK($O35,$O$6:$O$105,0)+COUNTIF($O$6:$O35,$O35)-1)</f>
        <v/>
      </c>
    </row>
    <row r="36" customFormat="false" ht="15" hidden="false" customHeight="false" outlineLevel="0" collapsed="false">
      <c r="A36" s="9" t="str">
        <f aca="false">IF($B36="","",ROW()-5)</f>
        <v/>
      </c>
      <c r="B36" s="23"/>
      <c r="C36" s="23"/>
      <c r="D36" s="23"/>
      <c r="E36" s="23"/>
      <c r="F36" s="16"/>
      <c r="G36" s="9" t="str">
        <f aca="false">IF($F36="","",LOOKUP($F36,Referensi!$A$6:$A$10,Referensi!$B$6:$B$10))</f>
        <v/>
      </c>
      <c r="H36" s="16"/>
      <c r="I36" s="16"/>
      <c r="J36" s="24"/>
      <c r="K36" s="16"/>
      <c r="L36" s="25"/>
      <c r="M36" s="11" t="str">
        <f aca="false">IF(OR($J36="",$L36=""),"",$J36*$L36)</f>
        <v/>
      </c>
      <c r="N36" s="11" t="str">
        <f aca="false">IF($J36="","",$J36-$M36)</f>
        <v/>
      </c>
      <c r="O36" s="11" t="str">
        <f aca="false">IFERROR(IF(OR($J36="",$F36=""),"",$J36/$F36*1000),"")</f>
        <v/>
      </c>
      <c r="P36" s="11" t="str">
        <f aca="false">IFERROR(IF(OR($J36="",$K36=""),"",$J36/$K36),"")</f>
        <v/>
      </c>
      <c r="Q36" s="11" t="str">
        <f aca="false">IFERROR(IF(OR($J36="",$H36="",$I36=""),"",$J36/($H36*$I36)*1000),"")</f>
        <v/>
      </c>
      <c r="R36" s="23"/>
      <c r="S36" s="23"/>
      <c r="T36" s="23"/>
      <c r="U36" s="23"/>
      <c r="V36" s="26" t="str">
        <f aca="false">IF($J36="","",RANK($J36,$J$6:$J$105,0)+COUNTIF($J$6:$J36,$J36)-1)</f>
        <v/>
      </c>
      <c r="W36" s="26" t="str">
        <f aca="false">IF($O36="","",RANK($O36,$O$6:$O$105,0)+COUNTIF($O$6:$O36,$O36)-1)</f>
        <v/>
      </c>
    </row>
    <row r="37" customFormat="false" ht="15" hidden="false" customHeight="false" outlineLevel="0" collapsed="false">
      <c r="A37" s="9" t="str">
        <f aca="false">IF($B37="","",ROW()-5)</f>
        <v/>
      </c>
      <c r="B37" s="23"/>
      <c r="C37" s="23"/>
      <c r="D37" s="23"/>
      <c r="E37" s="23"/>
      <c r="F37" s="16"/>
      <c r="G37" s="9" t="str">
        <f aca="false">IF($F37="","",LOOKUP($F37,Referensi!$A$6:$A$10,Referensi!$B$6:$B$10))</f>
        <v/>
      </c>
      <c r="H37" s="16"/>
      <c r="I37" s="16"/>
      <c r="J37" s="24"/>
      <c r="K37" s="16"/>
      <c r="L37" s="25"/>
      <c r="M37" s="11" t="str">
        <f aca="false">IF(OR($J37="",$L37=""),"",$J37*$L37)</f>
        <v/>
      </c>
      <c r="N37" s="11" t="str">
        <f aca="false">IF($J37="","",$J37-$M37)</f>
        <v/>
      </c>
      <c r="O37" s="11" t="str">
        <f aca="false">IFERROR(IF(OR($J37="",$F37=""),"",$J37/$F37*1000),"")</f>
        <v/>
      </c>
      <c r="P37" s="11" t="str">
        <f aca="false">IFERROR(IF(OR($J37="",$K37=""),"",$J37/$K37),"")</f>
        <v/>
      </c>
      <c r="Q37" s="11" t="str">
        <f aca="false">IFERROR(IF(OR($J37="",$H37="",$I37=""),"",$J37/($H37*$I37)*1000),"")</f>
        <v/>
      </c>
      <c r="R37" s="23"/>
      <c r="S37" s="23"/>
      <c r="T37" s="23"/>
      <c r="U37" s="23"/>
      <c r="V37" s="26" t="str">
        <f aca="false">IF($J37="","",RANK($J37,$J$6:$J$105,0)+COUNTIF($J$6:$J37,$J37)-1)</f>
        <v/>
      </c>
      <c r="W37" s="26" t="str">
        <f aca="false">IF($O37="","",RANK($O37,$O$6:$O$105,0)+COUNTIF($O$6:$O37,$O37)-1)</f>
        <v/>
      </c>
    </row>
    <row r="38" customFormat="false" ht="15" hidden="false" customHeight="false" outlineLevel="0" collapsed="false">
      <c r="A38" s="9" t="str">
        <f aca="false">IF($B38="","",ROW()-5)</f>
        <v/>
      </c>
      <c r="B38" s="23"/>
      <c r="C38" s="23"/>
      <c r="D38" s="23"/>
      <c r="E38" s="23"/>
      <c r="F38" s="16"/>
      <c r="G38" s="9" t="str">
        <f aca="false">IF($F38="","",LOOKUP($F38,Referensi!$A$6:$A$10,Referensi!$B$6:$B$10))</f>
        <v/>
      </c>
      <c r="H38" s="16"/>
      <c r="I38" s="16"/>
      <c r="J38" s="24"/>
      <c r="K38" s="16"/>
      <c r="L38" s="25"/>
      <c r="M38" s="11" t="str">
        <f aca="false">IF(OR($J38="",$L38=""),"",$J38*$L38)</f>
        <v/>
      </c>
      <c r="N38" s="11" t="str">
        <f aca="false">IF($J38="","",$J38-$M38)</f>
        <v/>
      </c>
      <c r="O38" s="11" t="str">
        <f aca="false">IFERROR(IF(OR($J38="",$F38=""),"",$J38/$F38*1000),"")</f>
        <v/>
      </c>
      <c r="P38" s="11" t="str">
        <f aca="false">IFERROR(IF(OR($J38="",$K38=""),"",$J38/$K38),"")</f>
        <v/>
      </c>
      <c r="Q38" s="11" t="str">
        <f aca="false">IFERROR(IF(OR($J38="",$H38="",$I38=""),"",$J38/($H38*$I38)*1000),"")</f>
        <v/>
      </c>
      <c r="R38" s="23"/>
      <c r="S38" s="23"/>
      <c r="T38" s="23"/>
      <c r="U38" s="23"/>
      <c r="V38" s="26" t="str">
        <f aca="false">IF($J38="","",RANK($J38,$J$6:$J$105,0)+COUNTIF($J$6:$J38,$J38)-1)</f>
        <v/>
      </c>
      <c r="W38" s="26" t="str">
        <f aca="false">IF($O38="","",RANK($O38,$O$6:$O$105,0)+COUNTIF($O$6:$O38,$O38)-1)</f>
        <v/>
      </c>
    </row>
    <row r="39" customFormat="false" ht="15" hidden="false" customHeight="false" outlineLevel="0" collapsed="false">
      <c r="A39" s="9" t="str">
        <f aca="false">IF($B39="","",ROW()-5)</f>
        <v/>
      </c>
      <c r="B39" s="23"/>
      <c r="C39" s="23"/>
      <c r="D39" s="23"/>
      <c r="E39" s="23"/>
      <c r="F39" s="16"/>
      <c r="G39" s="9" t="str">
        <f aca="false">IF($F39="","",LOOKUP($F39,Referensi!$A$6:$A$10,Referensi!$B$6:$B$10))</f>
        <v/>
      </c>
      <c r="H39" s="16"/>
      <c r="I39" s="16"/>
      <c r="J39" s="24"/>
      <c r="K39" s="16"/>
      <c r="L39" s="25"/>
      <c r="M39" s="11" t="str">
        <f aca="false">IF(OR($J39="",$L39=""),"",$J39*$L39)</f>
        <v/>
      </c>
      <c r="N39" s="11" t="str">
        <f aca="false">IF($J39="","",$J39-$M39)</f>
        <v/>
      </c>
      <c r="O39" s="11" t="str">
        <f aca="false">IFERROR(IF(OR($J39="",$F39=""),"",$J39/$F39*1000),"")</f>
        <v/>
      </c>
      <c r="P39" s="11" t="str">
        <f aca="false">IFERROR(IF(OR($J39="",$K39=""),"",$J39/$K39),"")</f>
        <v/>
      </c>
      <c r="Q39" s="11" t="str">
        <f aca="false">IFERROR(IF(OR($J39="",$H39="",$I39=""),"",$J39/($H39*$I39)*1000),"")</f>
        <v/>
      </c>
      <c r="R39" s="23"/>
      <c r="S39" s="23"/>
      <c r="T39" s="23"/>
      <c r="U39" s="23"/>
      <c r="V39" s="26" t="str">
        <f aca="false">IF($J39="","",RANK($J39,$J$6:$J$105,0)+COUNTIF($J$6:$J39,$J39)-1)</f>
        <v/>
      </c>
      <c r="W39" s="26" t="str">
        <f aca="false">IF($O39="","",RANK($O39,$O$6:$O$105,0)+COUNTIF($O$6:$O39,$O39)-1)</f>
        <v/>
      </c>
    </row>
    <row r="40" customFormat="false" ht="15" hidden="false" customHeight="false" outlineLevel="0" collapsed="false">
      <c r="A40" s="9" t="str">
        <f aca="false">IF($B40="","",ROW()-5)</f>
        <v/>
      </c>
      <c r="B40" s="23"/>
      <c r="C40" s="23"/>
      <c r="D40" s="23"/>
      <c r="E40" s="23"/>
      <c r="F40" s="16"/>
      <c r="G40" s="9" t="str">
        <f aca="false">IF($F40="","",LOOKUP($F40,Referensi!$A$6:$A$10,Referensi!$B$6:$B$10))</f>
        <v/>
      </c>
      <c r="H40" s="16"/>
      <c r="I40" s="16"/>
      <c r="J40" s="24"/>
      <c r="K40" s="16"/>
      <c r="L40" s="25"/>
      <c r="M40" s="11" t="str">
        <f aca="false">IF(OR($J40="",$L40=""),"",$J40*$L40)</f>
        <v/>
      </c>
      <c r="N40" s="11" t="str">
        <f aca="false">IF($J40="","",$J40-$M40)</f>
        <v/>
      </c>
      <c r="O40" s="11" t="str">
        <f aca="false">IFERROR(IF(OR($J40="",$F40=""),"",$J40/$F40*1000),"")</f>
        <v/>
      </c>
      <c r="P40" s="11" t="str">
        <f aca="false">IFERROR(IF(OR($J40="",$K40=""),"",$J40/$K40),"")</f>
        <v/>
      </c>
      <c r="Q40" s="11" t="str">
        <f aca="false">IFERROR(IF(OR($J40="",$H40="",$I40=""),"",$J40/($H40*$I40)*1000),"")</f>
        <v/>
      </c>
      <c r="R40" s="23"/>
      <c r="S40" s="23"/>
      <c r="T40" s="23"/>
      <c r="U40" s="23"/>
      <c r="V40" s="26" t="str">
        <f aca="false">IF($J40="","",RANK($J40,$J$6:$J$105,0)+COUNTIF($J$6:$J40,$J40)-1)</f>
        <v/>
      </c>
      <c r="W40" s="26" t="str">
        <f aca="false">IF($O40="","",RANK($O40,$O$6:$O$105,0)+COUNTIF($O$6:$O40,$O40)-1)</f>
        <v/>
      </c>
    </row>
    <row r="41" customFormat="false" ht="15" hidden="false" customHeight="false" outlineLevel="0" collapsed="false">
      <c r="A41" s="9" t="str">
        <f aca="false">IF($B41="","",ROW()-5)</f>
        <v/>
      </c>
      <c r="B41" s="23"/>
      <c r="C41" s="23"/>
      <c r="D41" s="23"/>
      <c r="E41" s="23"/>
      <c r="F41" s="16"/>
      <c r="G41" s="9" t="str">
        <f aca="false">IF($F41="","",LOOKUP($F41,Referensi!$A$6:$A$10,Referensi!$B$6:$B$10))</f>
        <v/>
      </c>
      <c r="H41" s="16"/>
      <c r="I41" s="16"/>
      <c r="J41" s="24"/>
      <c r="K41" s="16"/>
      <c r="L41" s="25"/>
      <c r="M41" s="11" t="str">
        <f aca="false">IF(OR($J41="",$L41=""),"",$J41*$L41)</f>
        <v/>
      </c>
      <c r="N41" s="11" t="str">
        <f aca="false">IF($J41="","",$J41-$M41)</f>
        <v/>
      </c>
      <c r="O41" s="11" t="str">
        <f aca="false">IFERROR(IF(OR($J41="",$F41=""),"",$J41/$F41*1000),"")</f>
        <v/>
      </c>
      <c r="P41" s="11" t="str">
        <f aca="false">IFERROR(IF(OR($J41="",$K41=""),"",$J41/$K41),"")</f>
        <v/>
      </c>
      <c r="Q41" s="11" t="str">
        <f aca="false">IFERROR(IF(OR($J41="",$H41="",$I41=""),"",$J41/($H41*$I41)*1000),"")</f>
        <v/>
      </c>
      <c r="R41" s="23"/>
      <c r="S41" s="23"/>
      <c r="T41" s="23"/>
      <c r="U41" s="23"/>
      <c r="V41" s="26" t="str">
        <f aca="false">IF($J41="","",RANK($J41,$J$6:$J$105,0)+COUNTIF($J$6:$J41,$J41)-1)</f>
        <v/>
      </c>
      <c r="W41" s="26" t="str">
        <f aca="false">IF($O41="","",RANK($O41,$O$6:$O$105,0)+COUNTIF($O$6:$O41,$O41)-1)</f>
        <v/>
      </c>
    </row>
    <row r="42" customFormat="false" ht="15" hidden="false" customHeight="false" outlineLevel="0" collapsed="false">
      <c r="A42" s="9" t="str">
        <f aca="false">IF($B42="","",ROW()-5)</f>
        <v/>
      </c>
      <c r="B42" s="23"/>
      <c r="C42" s="23"/>
      <c r="D42" s="23"/>
      <c r="E42" s="23"/>
      <c r="F42" s="16"/>
      <c r="G42" s="9" t="str">
        <f aca="false">IF($F42="","",LOOKUP($F42,Referensi!$A$6:$A$10,Referensi!$B$6:$B$10))</f>
        <v/>
      </c>
      <c r="H42" s="16"/>
      <c r="I42" s="16"/>
      <c r="J42" s="24"/>
      <c r="K42" s="16"/>
      <c r="L42" s="25"/>
      <c r="M42" s="11" t="str">
        <f aca="false">IF(OR($J42="",$L42=""),"",$J42*$L42)</f>
        <v/>
      </c>
      <c r="N42" s="11" t="str">
        <f aca="false">IF($J42="","",$J42-$M42)</f>
        <v/>
      </c>
      <c r="O42" s="11" t="str">
        <f aca="false">IFERROR(IF(OR($J42="",$F42=""),"",$J42/$F42*1000),"")</f>
        <v/>
      </c>
      <c r="P42" s="11" t="str">
        <f aca="false">IFERROR(IF(OR($J42="",$K42=""),"",$J42/$K42),"")</f>
        <v/>
      </c>
      <c r="Q42" s="11" t="str">
        <f aca="false">IFERROR(IF(OR($J42="",$H42="",$I42=""),"",$J42/($H42*$I42)*1000),"")</f>
        <v/>
      </c>
      <c r="R42" s="23"/>
      <c r="S42" s="23"/>
      <c r="T42" s="23"/>
      <c r="U42" s="23"/>
      <c r="V42" s="26" t="str">
        <f aca="false">IF($J42="","",RANK($J42,$J$6:$J$105,0)+COUNTIF($J$6:$J42,$J42)-1)</f>
        <v/>
      </c>
      <c r="W42" s="26" t="str">
        <f aca="false">IF($O42="","",RANK($O42,$O$6:$O$105,0)+COUNTIF($O$6:$O42,$O42)-1)</f>
        <v/>
      </c>
    </row>
    <row r="43" customFormat="false" ht="15" hidden="false" customHeight="false" outlineLevel="0" collapsed="false">
      <c r="A43" s="9" t="str">
        <f aca="false">IF($B43="","",ROW()-5)</f>
        <v/>
      </c>
      <c r="B43" s="23"/>
      <c r="C43" s="23"/>
      <c r="D43" s="23"/>
      <c r="E43" s="23"/>
      <c r="F43" s="16"/>
      <c r="G43" s="9" t="str">
        <f aca="false">IF($F43="","",LOOKUP($F43,Referensi!$A$6:$A$10,Referensi!$B$6:$B$10))</f>
        <v/>
      </c>
      <c r="H43" s="16"/>
      <c r="I43" s="16"/>
      <c r="J43" s="24"/>
      <c r="K43" s="16"/>
      <c r="L43" s="25"/>
      <c r="M43" s="11" t="str">
        <f aca="false">IF(OR($J43="",$L43=""),"",$J43*$L43)</f>
        <v/>
      </c>
      <c r="N43" s="11" t="str">
        <f aca="false">IF($J43="","",$J43-$M43)</f>
        <v/>
      </c>
      <c r="O43" s="11" t="str">
        <f aca="false">IFERROR(IF(OR($J43="",$F43=""),"",$J43/$F43*1000),"")</f>
        <v/>
      </c>
      <c r="P43" s="11" t="str">
        <f aca="false">IFERROR(IF(OR($J43="",$K43=""),"",$J43/$K43),"")</f>
        <v/>
      </c>
      <c r="Q43" s="11" t="str">
        <f aca="false">IFERROR(IF(OR($J43="",$H43="",$I43=""),"",$J43/($H43*$I43)*1000),"")</f>
        <v/>
      </c>
      <c r="R43" s="23"/>
      <c r="S43" s="23"/>
      <c r="T43" s="23"/>
      <c r="U43" s="23"/>
      <c r="V43" s="26" t="str">
        <f aca="false">IF($J43="","",RANK($J43,$J$6:$J$105,0)+COUNTIF($J$6:$J43,$J43)-1)</f>
        <v/>
      </c>
      <c r="W43" s="26" t="str">
        <f aca="false">IF($O43="","",RANK($O43,$O$6:$O$105,0)+COUNTIF($O$6:$O43,$O43)-1)</f>
        <v/>
      </c>
    </row>
    <row r="44" customFormat="false" ht="15" hidden="false" customHeight="false" outlineLevel="0" collapsed="false">
      <c r="A44" s="9" t="str">
        <f aca="false">IF($B44="","",ROW()-5)</f>
        <v/>
      </c>
      <c r="B44" s="23"/>
      <c r="C44" s="23"/>
      <c r="D44" s="23"/>
      <c r="E44" s="23"/>
      <c r="F44" s="16"/>
      <c r="G44" s="9" t="str">
        <f aca="false">IF($F44="","",LOOKUP($F44,Referensi!$A$6:$A$10,Referensi!$B$6:$B$10))</f>
        <v/>
      </c>
      <c r="H44" s="16"/>
      <c r="I44" s="16"/>
      <c r="J44" s="24"/>
      <c r="K44" s="16"/>
      <c r="L44" s="25"/>
      <c r="M44" s="11" t="str">
        <f aca="false">IF(OR($J44="",$L44=""),"",$J44*$L44)</f>
        <v/>
      </c>
      <c r="N44" s="11" t="str">
        <f aca="false">IF($J44="","",$J44-$M44)</f>
        <v/>
      </c>
      <c r="O44" s="11" t="str">
        <f aca="false">IFERROR(IF(OR($J44="",$F44=""),"",$J44/$F44*1000),"")</f>
        <v/>
      </c>
      <c r="P44" s="11" t="str">
        <f aca="false">IFERROR(IF(OR($J44="",$K44=""),"",$J44/$K44),"")</f>
        <v/>
      </c>
      <c r="Q44" s="11" t="str">
        <f aca="false">IFERROR(IF(OR($J44="",$H44="",$I44=""),"",$J44/($H44*$I44)*1000),"")</f>
        <v/>
      </c>
      <c r="R44" s="23"/>
      <c r="S44" s="23"/>
      <c r="T44" s="23"/>
      <c r="U44" s="23"/>
      <c r="V44" s="26" t="str">
        <f aca="false">IF($J44="","",RANK($J44,$J$6:$J$105,0)+COUNTIF($J$6:$J44,$J44)-1)</f>
        <v/>
      </c>
      <c r="W44" s="26" t="str">
        <f aca="false">IF($O44="","",RANK($O44,$O$6:$O$105,0)+COUNTIF($O$6:$O44,$O44)-1)</f>
        <v/>
      </c>
    </row>
    <row r="45" customFormat="false" ht="15" hidden="false" customHeight="false" outlineLevel="0" collapsed="false">
      <c r="A45" s="9" t="str">
        <f aca="false">IF($B45="","",ROW()-5)</f>
        <v/>
      </c>
      <c r="B45" s="23"/>
      <c r="C45" s="23"/>
      <c r="D45" s="23"/>
      <c r="E45" s="23"/>
      <c r="F45" s="16"/>
      <c r="G45" s="9" t="str">
        <f aca="false">IF($F45="","",LOOKUP($F45,Referensi!$A$6:$A$10,Referensi!$B$6:$B$10))</f>
        <v/>
      </c>
      <c r="H45" s="16"/>
      <c r="I45" s="16"/>
      <c r="J45" s="24"/>
      <c r="K45" s="16"/>
      <c r="L45" s="25"/>
      <c r="M45" s="11" t="str">
        <f aca="false">IF(OR($J45="",$L45=""),"",$J45*$L45)</f>
        <v/>
      </c>
      <c r="N45" s="11" t="str">
        <f aca="false">IF($J45="","",$J45-$M45)</f>
        <v/>
      </c>
      <c r="O45" s="11" t="str">
        <f aca="false">IFERROR(IF(OR($J45="",$F45=""),"",$J45/$F45*1000),"")</f>
        <v/>
      </c>
      <c r="P45" s="11" t="str">
        <f aca="false">IFERROR(IF(OR($J45="",$K45=""),"",$J45/$K45),"")</f>
        <v/>
      </c>
      <c r="Q45" s="11" t="str">
        <f aca="false">IFERROR(IF(OR($J45="",$H45="",$I45=""),"",$J45/($H45*$I45)*1000),"")</f>
        <v/>
      </c>
      <c r="R45" s="23"/>
      <c r="S45" s="23"/>
      <c r="T45" s="23"/>
      <c r="U45" s="23"/>
      <c r="V45" s="26" t="str">
        <f aca="false">IF($J45="","",RANK($J45,$J$6:$J$105,0)+COUNTIF($J$6:$J45,$J45)-1)</f>
        <v/>
      </c>
      <c r="W45" s="26" t="str">
        <f aca="false">IF($O45="","",RANK($O45,$O$6:$O$105,0)+COUNTIF($O$6:$O45,$O45)-1)</f>
        <v/>
      </c>
    </row>
    <row r="46" customFormat="false" ht="15" hidden="false" customHeight="false" outlineLevel="0" collapsed="false">
      <c r="A46" s="9" t="str">
        <f aca="false">IF($B46="","",ROW()-5)</f>
        <v/>
      </c>
      <c r="B46" s="23"/>
      <c r="C46" s="23"/>
      <c r="D46" s="23"/>
      <c r="E46" s="23"/>
      <c r="F46" s="16"/>
      <c r="G46" s="9" t="str">
        <f aca="false">IF($F46="","",LOOKUP($F46,Referensi!$A$6:$A$10,Referensi!$B$6:$B$10))</f>
        <v/>
      </c>
      <c r="H46" s="16"/>
      <c r="I46" s="16"/>
      <c r="J46" s="24"/>
      <c r="K46" s="16"/>
      <c r="L46" s="25"/>
      <c r="M46" s="11" t="str">
        <f aca="false">IF(OR($J46="",$L46=""),"",$J46*$L46)</f>
        <v/>
      </c>
      <c r="N46" s="11" t="str">
        <f aca="false">IF($J46="","",$J46-$M46)</f>
        <v/>
      </c>
      <c r="O46" s="11" t="str">
        <f aca="false">IFERROR(IF(OR($J46="",$F46=""),"",$J46/$F46*1000),"")</f>
        <v/>
      </c>
      <c r="P46" s="11" t="str">
        <f aca="false">IFERROR(IF(OR($J46="",$K46=""),"",$J46/$K46),"")</f>
        <v/>
      </c>
      <c r="Q46" s="11" t="str">
        <f aca="false">IFERROR(IF(OR($J46="",$H46="",$I46=""),"",$J46/($H46*$I46)*1000),"")</f>
        <v/>
      </c>
      <c r="R46" s="23"/>
      <c r="S46" s="23"/>
      <c r="T46" s="23"/>
      <c r="U46" s="23"/>
      <c r="V46" s="26" t="str">
        <f aca="false">IF($J46="","",RANK($J46,$J$6:$J$105,0)+COUNTIF($J$6:$J46,$J46)-1)</f>
        <v/>
      </c>
      <c r="W46" s="26" t="str">
        <f aca="false">IF($O46="","",RANK($O46,$O$6:$O$105,0)+COUNTIF($O$6:$O46,$O46)-1)</f>
        <v/>
      </c>
    </row>
    <row r="47" customFormat="false" ht="15" hidden="false" customHeight="false" outlineLevel="0" collapsed="false">
      <c r="A47" s="9" t="str">
        <f aca="false">IF($B47="","",ROW()-5)</f>
        <v/>
      </c>
      <c r="B47" s="23"/>
      <c r="C47" s="23"/>
      <c r="D47" s="23"/>
      <c r="E47" s="23"/>
      <c r="F47" s="16"/>
      <c r="G47" s="9" t="str">
        <f aca="false">IF($F47="","",LOOKUP($F47,Referensi!$A$6:$A$10,Referensi!$B$6:$B$10))</f>
        <v/>
      </c>
      <c r="H47" s="16"/>
      <c r="I47" s="16"/>
      <c r="J47" s="24"/>
      <c r="K47" s="16"/>
      <c r="L47" s="25"/>
      <c r="M47" s="11" t="str">
        <f aca="false">IF(OR($J47="",$L47=""),"",$J47*$L47)</f>
        <v/>
      </c>
      <c r="N47" s="11" t="str">
        <f aca="false">IF($J47="","",$J47-$M47)</f>
        <v/>
      </c>
      <c r="O47" s="11" t="str">
        <f aca="false">IFERROR(IF(OR($J47="",$F47=""),"",$J47/$F47*1000),"")</f>
        <v/>
      </c>
      <c r="P47" s="11" t="str">
        <f aca="false">IFERROR(IF(OR($J47="",$K47=""),"",$J47/$K47),"")</f>
        <v/>
      </c>
      <c r="Q47" s="11" t="str">
        <f aca="false">IFERROR(IF(OR($J47="",$H47="",$I47=""),"",$J47/($H47*$I47)*1000),"")</f>
        <v/>
      </c>
      <c r="R47" s="23"/>
      <c r="S47" s="23"/>
      <c r="T47" s="23"/>
      <c r="U47" s="23"/>
      <c r="V47" s="26" t="str">
        <f aca="false">IF($J47="","",RANK($J47,$J$6:$J$105,0)+COUNTIF($J$6:$J47,$J47)-1)</f>
        <v/>
      </c>
      <c r="W47" s="26" t="str">
        <f aca="false">IF($O47="","",RANK($O47,$O$6:$O$105,0)+COUNTIF($O$6:$O47,$O47)-1)</f>
        <v/>
      </c>
    </row>
    <row r="48" customFormat="false" ht="15" hidden="false" customHeight="false" outlineLevel="0" collapsed="false">
      <c r="A48" s="9" t="str">
        <f aca="false">IF($B48="","",ROW()-5)</f>
        <v/>
      </c>
      <c r="B48" s="23"/>
      <c r="C48" s="23"/>
      <c r="D48" s="23"/>
      <c r="E48" s="23"/>
      <c r="F48" s="16"/>
      <c r="G48" s="9" t="str">
        <f aca="false">IF($F48="","",LOOKUP($F48,Referensi!$A$6:$A$10,Referensi!$B$6:$B$10))</f>
        <v/>
      </c>
      <c r="H48" s="16"/>
      <c r="I48" s="16"/>
      <c r="J48" s="24"/>
      <c r="K48" s="16"/>
      <c r="L48" s="25"/>
      <c r="M48" s="11" t="str">
        <f aca="false">IF(OR($J48="",$L48=""),"",$J48*$L48)</f>
        <v/>
      </c>
      <c r="N48" s="11" t="str">
        <f aca="false">IF($J48="","",$J48-$M48)</f>
        <v/>
      </c>
      <c r="O48" s="11" t="str">
        <f aca="false">IFERROR(IF(OR($J48="",$F48=""),"",$J48/$F48*1000),"")</f>
        <v/>
      </c>
      <c r="P48" s="11" t="str">
        <f aca="false">IFERROR(IF(OR($J48="",$K48=""),"",$J48/$K48),"")</f>
        <v/>
      </c>
      <c r="Q48" s="11" t="str">
        <f aca="false">IFERROR(IF(OR($J48="",$H48="",$I48=""),"",$J48/($H48*$I48)*1000),"")</f>
        <v/>
      </c>
      <c r="R48" s="23"/>
      <c r="S48" s="23"/>
      <c r="T48" s="23"/>
      <c r="U48" s="23"/>
      <c r="V48" s="26" t="str">
        <f aca="false">IF($J48="","",RANK($J48,$J$6:$J$105,0)+COUNTIF($J$6:$J48,$J48)-1)</f>
        <v/>
      </c>
      <c r="W48" s="26" t="str">
        <f aca="false">IF($O48="","",RANK($O48,$O$6:$O$105,0)+COUNTIF($O$6:$O48,$O48)-1)</f>
        <v/>
      </c>
    </row>
    <row r="49" customFormat="false" ht="15" hidden="false" customHeight="false" outlineLevel="0" collapsed="false">
      <c r="A49" s="9" t="str">
        <f aca="false">IF($B49="","",ROW()-5)</f>
        <v/>
      </c>
      <c r="B49" s="23"/>
      <c r="C49" s="23"/>
      <c r="D49" s="23"/>
      <c r="E49" s="23"/>
      <c r="F49" s="16"/>
      <c r="G49" s="9" t="str">
        <f aca="false">IF($F49="","",LOOKUP($F49,Referensi!$A$6:$A$10,Referensi!$B$6:$B$10))</f>
        <v/>
      </c>
      <c r="H49" s="16"/>
      <c r="I49" s="16"/>
      <c r="J49" s="24"/>
      <c r="K49" s="16"/>
      <c r="L49" s="25"/>
      <c r="M49" s="11" t="str">
        <f aca="false">IF(OR($J49="",$L49=""),"",$J49*$L49)</f>
        <v/>
      </c>
      <c r="N49" s="11" t="str">
        <f aca="false">IF($J49="","",$J49-$M49)</f>
        <v/>
      </c>
      <c r="O49" s="11" t="str">
        <f aca="false">IFERROR(IF(OR($J49="",$F49=""),"",$J49/$F49*1000),"")</f>
        <v/>
      </c>
      <c r="P49" s="11" t="str">
        <f aca="false">IFERROR(IF(OR($J49="",$K49=""),"",$J49/$K49),"")</f>
        <v/>
      </c>
      <c r="Q49" s="11" t="str">
        <f aca="false">IFERROR(IF(OR($J49="",$H49="",$I49=""),"",$J49/($H49*$I49)*1000),"")</f>
        <v/>
      </c>
      <c r="R49" s="23"/>
      <c r="S49" s="23"/>
      <c r="T49" s="23"/>
      <c r="U49" s="23"/>
      <c r="V49" s="26" t="str">
        <f aca="false">IF($J49="","",RANK($J49,$J$6:$J$105,0)+COUNTIF($J$6:$J49,$J49)-1)</f>
        <v/>
      </c>
      <c r="W49" s="26" t="str">
        <f aca="false">IF($O49="","",RANK($O49,$O$6:$O$105,0)+COUNTIF($O$6:$O49,$O49)-1)</f>
        <v/>
      </c>
    </row>
    <row r="50" customFormat="false" ht="15" hidden="false" customHeight="false" outlineLevel="0" collapsed="false">
      <c r="A50" s="9" t="str">
        <f aca="false">IF($B50="","",ROW()-5)</f>
        <v/>
      </c>
      <c r="B50" s="23"/>
      <c r="C50" s="23"/>
      <c r="D50" s="23"/>
      <c r="E50" s="23"/>
      <c r="F50" s="16"/>
      <c r="G50" s="9" t="str">
        <f aca="false">IF($F50="","",LOOKUP($F50,Referensi!$A$6:$A$10,Referensi!$B$6:$B$10))</f>
        <v/>
      </c>
      <c r="H50" s="16"/>
      <c r="I50" s="16"/>
      <c r="J50" s="24"/>
      <c r="K50" s="16"/>
      <c r="L50" s="25"/>
      <c r="M50" s="11" t="str">
        <f aca="false">IF(OR($J50="",$L50=""),"",$J50*$L50)</f>
        <v/>
      </c>
      <c r="N50" s="11" t="str">
        <f aca="false">IF($J50="","",$J50-$M50)</f>
        <v/>
      </c>
      <c r="O50" s="11" t="str">
        <f aca="false">IFERROR(IF(OR($J50="",$F50=""),"",$J50/$F50*1000),"")</f>
        <v/>
      </c>
      <c r="P50" s="11" t="str">
        <f aca="false">IFERROR(IF(OR($J50="",$K50=""),"",$J50/$K50),"")</f>
        <v/>
      </c>
      <c r="Q50" s="11" t="str">
        <f aca="false">IFERROR(IF(OR($J50="",$H50="",$I50=""),"",$J50/($H50*$I50)*1000),"")</f>
        <v/>
      </c>
      <c r="R50" s="23"/>
      <c r="S50" s="23"/>
      <c r="T50" s="23"/>
      <c r="U50" s="23"/>
      <c r="V50" s="26" t="str">
        <f aca="false">IF($J50="","",RANK($J50,$J$6:$J$105,0)+COUNTIF($J$6:$J50,$J50)-1)</f>
        <v/>
      </c>
      <c r="W50" s="26" t="str">
        <f aca="false">IF($O50="","",RANK($O50,$O$6:$O$105,0)+COUNTIF($O$6:$O50,$O50)-1)</f>
        <v/>
      </c>
    </row>
    <row r="51" customFormat="false" ht="15" hidden="false" customHeight="false" outlineLevel="0" collapsed="false">
      <c r="A51" s="9" t="str">
        <f aca="false">IF($B51="","",ROW()-5)</f>
        <v/>
      </c>
      <c r="B51" s="23"/>
      <c r="C51" s="23"/>
      <c r="D51" s="23"/>
      <c r="E51" s="23"/>
      <c r="F51" s="16"/>
      <c r="G51" s="9" t="str">
        <f aca="false">IF($F51="","",LOOKUP($F51,Referensi!$A$6:$A$10,Referensi!$B$6:$B$10))</f>
        <v/>
      </c>
      <c r="H51" s="16"/>
      <c r="I51" s="16"/>
      <c r="J51" s="24"/>
      <c r="K51" s="16"/>
      <c r="L51" s="25"/>
      <c r="M51" s="11" t="str">
        <f aca="false">IF(OR($J51="",$L51=""),"",$J51*$L51)</f>
        <v/>
      </c>
      <c r="N51" s="11" t="str">
        <f aca="false">IF($J51="","",$J51-$M51)</f>
        <v/>
      </c>
      <c r="O51" s="11" t="str">
        <f aca="false">IFERROR(IF(OR($J51="",$F51=""),"",$J51/$F51*1000),"")</f>
        <v/>
      </c>
      <c r="P51" s="11" t="str">
        <f aca="false">IFERROR(IF(OR($J51="",$K51=""),"",$J51/$K51),"")</f>
        <v/>
      </c>
      <c r="Q51" s="11" t="str">
        <f aca="false">IFERROR(IF(OR($J51="",$H51="",$I51=""),"",$J51/($H51*$I51)*1000),"")</f>
        <v/>
      </c>
      <c r="R51" s="23"/>
      <c r="S51" s="23"/>
      <c r="T51" s="23"/>
      <c r="U51" s="23"/>
      <c r="V51" s="26" t="str">
        <f aca="false">IF($J51="","",RANK($J51,$J$6:$J$105,0)+COUNTIF($J$6:$J51,$J51)-1)</f>
        <v/>
      </c>
      <c r="W51" s="26" t="str">
        <f aca="false">IF($O51="","",RANK($O51,$O$6:$O$105,0)+COUNTIF($O$6:$O51,$O51)-1)</f>
        <v/>
      </c>
    </row>
    <row r="52" customFormat="false" ht="15" hidden="false" customHeight="false" outlineLevel="0" collapsed="false">
      <c r="A52" s="9" t="str">
        <f aca="false">IF($B52="","",ROW()-5)</f>
        <v/>
      </c>
      <c r="B52" s="23"/>
      <c r="C52" s="23"/>
      <c r="D52" s="23"/>
      <c r="E52" s="23"/>
      <c r="F52" s="16"/>
      <c r="G52" s="9" t="str">
        <f aca="false">IF($F52="","",LOOKUP($F52,Referensi!$A$6:$A$10,Referensi!$B$6:$B$10))</f>
        <v/>
      </c>
      <c r="H52" s="16"/>
      <c r="I52" s="16"/>
      <c r="J52" s="24"/>
      <c r="K52" s="16"/>
      <c r="L52" s="25"/>
      <c r="M52" s="11" t="str">
        <f aca="false">IF(OR($J52="",$L52=""),"",$J52*$L52)</f>
        <v/>
      </c>
      <c r="N52" s="11" t="str">
        <f aca="false">IF($J52="","",$J52-$M52)</f>
        <v/>
      </c>
      <c r="O52" s="11" t="str">
        <f aca="false">IFERROR(IF(OR($J52="",$F52=""),"",$J52/$F52*1000),"")</f>
        <v/>
      </c>
      <c r="P52" s="11" t="str">
        <f aca="false">IFERROR(IF(OR($J52="",$K52=""),"",$J52/$K52),"")</f>
        <v/>
      </c>
      <c r="Q52" s="11" t="str">
        <f aca="false">IFERROR(IF(OR($J52="",$H52="",$I52=""),"",$J52/($H52*$I52)*1000),"")</f>
        <v/>
      </c>
      <c r="R52" s="23"/>
      <c r="S52" s="23"/>
      <c r="T52" s="23"/>
      <c r="U52" s="23"/>
      <c r="V52" s="26" t="str">
        <f aca="false">IF($J52="","",RANK($J52,$J$6:$J$105,0)+COUNTIF($J$6:$J52,$J52)-1)</f>
        <v/>
      </c>
      <c r="W52" s="26" t="str">
        <f aca="false">IF($O52="","",RANK($O52,$O$6:$O$105,0)+COUNTIF($O$6:$O52,$O52)-1)</f>
        <v/>
      </c>
    </row>
    <row r="53" customFormat="false" ht="15" hidden="false" customHeight="false" outlineLevel="0" collapsed="false">
      <c r="A53" s="9" t="str">
        <f aca="false">IF($B53="","",ROW()-5)</f>
        <v/>
      </c>
      <c r="B53" s="23"/>
      <c r="C53" s="23"/>
      <c r="D53" s="23"/>
      <c r="E53" s="23"/>
      <c r="F53" s="16"/>
      <c r="G53" s="9" t="str">
        <f aca="false">IF($F53="","",LOOKUP($F53,Referensi!$A$6:$A$10,Referensi!$B$6:$B$10))</f>
        <v/>
      </c>
      <c r="H53" s="16"/>
      <c r="I53" s="16"/>
      <c r="J53" s="24"/>
      <c r="K53" s="16"/>
      <c r="L53" s="25"/>
      <c r="M53" s="11" t="str">
        <f aca="false">IF(OR($J53="",$L53=""),"",$J53*$L53)</f>
        <v/>
      </c>
      <c r="N53" s="11" t="str">
        <f aca="false">IF($J53="","",$J53-$M53)</f>
        <v/>
      </c>
      <c r="O53" s="11" t="str">
        <f aca="false">IFERROR(IF(OR($J53="",$F53=""),"",$J53/$F53*1000),"")</f>
        <v/>
      </c>
      <c r="P53" s="11" t="str">
        <f aca="false">IFERROR(IF(OR($J53="",$K53=""),"",$J53/$K53),"")</f>
        <v/>
      </c>
      <c r="Q53" s="11" t="str">
        <f aca="false">IFERROR(IF(OR($J53="",$H53="",$I53=""),"",$J53/($H53*$I53)*1000),"")</f>
        <v/>
      </c>
      <c r="R53" s="23"/>
      <c r="S53" s="23"/>
      <c r="T53" s="23"/>
      <c r="U53" s="23"/>
      <c r="V53" s="26" t="str">
        <f aca="false">IF($J53="","",RANK($J53,$J$6:$J$105,0)+COUNTIF($J$6:$J53,$J53)-1)</f>
        <v/>
      </c>
      <c r="W53" s="26" t="str">
        <f aca="false">IF($O53="","",RANK($O53,$O$6:$O$105,0)+COUNTIF($O$6:$O53,$O53)-1)</f>
        <v/>
      </c>
    </row>
    <row r="54" customFormat="false" ht="15" hidden="false" customHeight="false" outlineLevel="0" collapsed="false">
      <c r="A54" s="9" t="str">
        <f aca="false">IF($B54="","",ROW()-5)</f>
        <v/>
      </c>
      <c r="B54" s="23"/>
      <c r="C54" s="23"/>
      <c r="D54" s="23"/>
      <c r="E54" s="23"/>
      <c r="F54" s="16"/>
      <c r="G54" s="9" t="str">
        <f aca="false">IF($F54="","",LOOKUP($F54,Referensi!$A$6:$A$10,Referensi!$B$6:$B$10))</f>
        <v/>
      </c>
      <c r="H54" s="16"/>
      <c r="I54" s="16"/>
      <c r="J54" s="24"/>
      <c r="K54" s="16"/>
      <c r="L54" s="25"/>
      <c r="M54" s="11" t="str">
        <f aca="false">IF(OR($J54="",$L54=""),"",$J54*$L54)</f>
        <v/>
      </c>
      <c r="N54" s="11" t="str">
        <f aca="false">IF($J54="","",$J54-$M54)</f>
        <v/>
      </c>
      <c r="O54" s="11" t="str">
        <f aca="false">IFERROR(IF(OR($J54="",$F54=""),"",$J54/$F54*1000),"")</f>
        <v/>
      </c>
      <c r="P54" s="11" t="str">
        <f aca="false">IFERROR(IF(OR($J54="",$K54=""),"",$J54/$K54),"")</f>
        <v/>
      </c>
      <c r="Q54" s="11" t="str">
        <f aca="false">IFERROR(IF(OR($J54="",$H54="",$I54=""),"",$J54/($H54*$I54)*1000),"")</f>
        <v/>
      </c>
      <c r="R54" s="23"/>
      <c r="S54" s="23"/>
      <c r="T54" s="23"/>
      <c r="U54" s="23"/>
      <c r="V54" s="26" t="str">
        <f aca="false">IF($J54="","",RANK($J54,$J$6:$J$105,0)+COUNTIF($J$6:$J54,$J54)-1)</f>
        <v/>
      </c>
      <c r="W54" s="26" t="str">
        <f aca="false">IF($O54="","",RANK($O54,$O$6:$O$105,0)+COUNTIF($O$6:$O54,$O54)-1)</f>
        <v/>
      </c>
    </row>
    <row r="55" customFormat="false" ht="15" hidden="false" customHeight="false" outlineLevel="0" collapsed="false">
      <c r="A55" s="9" t="str">
        <f aca="false">IF($B55="","",ROW()-5)</f>
        <v/>
      </c>
      <c r="B55" s="23"/>
      <c r="C55" s="23"/>
      <c r="D55" s="23"/>
      <c r="E55" s="23"/>
      <c r="F55" s="16"/>
      <c r="G55" s="9" t="str">
        <f aca="false">IF($F55="","",LOOKUP($F55,Referensi!$A$6:$A$10,Referensi!$B$6:$B$10))</f>
        <v/>
      </c>
      <c r="H55" s="16"/>
      <c r="I55" s="16"/>
      <c r="J55" s="24"/>
      <c r="K55" s="16"/>
      <c r="L55" s="25"/>
      <c r="M55" s="11" t="str">
        <f aca="false">IF(OR($J55="",$L55=""),"",$J55*$L55)</f>
        <v/>
      </c>
      <c r="N55" s="11" t="str">
        <f aca="false">IF($J55="","",$J55-$M55)</f>
        <v/>
      </c>
      <c r="O55" s="11" t="str">
        <f aca="false">IFERROR(IF(OR($J55="",$F55=""),"",$J55/$F55*1000),"")</f>
        <v/>
      </c>
      <c r="P55" s="11" t="str">
        <f aca="false">IFERROR(IF(OR($J55="",$K55=""),"",$J55/$K55),"")</f>
        <v/>
      </c>
      <c r="Q55" s="11" t="str">
        <f aca="false">IFERROR(IF(OR($J55="",$H55="",$I55=""),"",$J55/($H55*$I55)*1000),"")</f>
        <v/>
      </c>
      <c r="R55" s="23"/>
      <c r="S55" s="23"/>
      <c r="T55" s="23"/>
      <c r="U55" s="23"/>
      <c r="V55" s="26" t="str">
        <f aca="false">IF($J55="","",RANK($J55,$J$6:$J$105,0)+COUNTIF($J$6:$J55,$J55)-1)</f>
        <v/>
      </c>
      <c r="W55" s="26" t="str">
        <f aca="false">IF($O55="","",RANK($O55,$O$6:$O$105,0)+COUNTIF($O$6:$O55,$O55)-1)</f>
        <v/>
      </c>
    </row>
    <row r="56" customFormat="false" ht="15" hidden="false" customHeight="false" outlineLevel="0" collapsed="false">
      <c r="A56" s="9" t="str">
        <f aca="false">IF($B56="","",ROW()-5)</f>
        <v/>
      </c>
      <c r="B56" s="23"/>
      <c r="C56" s="23"/>
      <c r="D56" s="23"/>
      <c r="E56" s="23"/>
      <c r="F56" s="16"/>
      <c r="G56" s="9" t="str">
        <f aca="false">IF($F56="","",LOOKUP($F56,Referensi!$A$6:$A$10,Referensi!$B$6:$B$10))</f>
        <v/>
      </c>
      <c r="H56" s="16"/>
      <c r="I56" s="16"/>
      <c r="J56" s="24"/>
      <c r="K56" s="16"/>
      <c r="L56" s="25"/>
      <c r="M56" s="11" t="str">
        <f aca="false">IF(OR($J56="",$L56=""),"",$J56*$L56)</f>
        <v/>
      </c>
      <c r="N56" s="11" t="str">
        <f aca="false">IF($J56="","",$J56-$M56)</f>
        <v/>
      </c>
      <c r="O56" s="11" t="str">
        <f aca="false">IFERROR(IF(OR($J56="",$F56=""),"",$J56/$F56*1000),"")</f>
        <v/>
      </c>
      <c r="P56" s="11" t="str">
        <f aca="false">IFERROR(IF(OR($J56="",$K56=""),"",$J56/$K56),"")</f>
        <v/>
      </c>
      <c r="Q56" s="11" t="str">
        <f aca="false">IFERROR(IF(OR($J56="",$H56="",$I56=""),"",$J56/($H56*$I56)*1000),"")</f>
        <v/>
      </c>
      <c r="R56" s="23"/>
      <c r="S56" s="23"/>
      <c r="T56" s="23"/>
      <c r="U56" s="23"/>
      <c r="V56" s="26" t="str">
        <f aca="false">IF($J56="","",RANK($J56,$J$6:$J$105,0)+COUNTIF($J$6:$J56,$J56)-1)</f>
        <v/>
      </c>
      <c r="W56" s="26" t="str">
        <f aca="false">IF($O56="","",RANK($O56,$O$6:$O$105,0)+COUNTIF($O$6:$O56,$O56)-1)</f>
        <v/>
      </c>
    </row>
    <row r="57" customFormat="false" ht="15" hidden="false" customHeight="false" outlineLevel="0" collapsed="false">
      <c r="A57" s="9" t="str">
        <f aca="false">IF($B57="","",ROW()-5)</f>
        <v/>
      </c>
      <c r="B57" s="23"/>
      <c r="C57" s="23"/>
      <c r="D57" s="23"/>
      <c r="E57" s="23"/>
      <c r="F57" s="16"/>
      <c r="G57" s="9" t="str">
        <f aca="false">IF($F57="","",LOOKUP($F57,Referensi!$A$6:$A$10,Referensi!$B$6:$B$10))</f>
        <v/>
      </c>
      <c r="H57" s="16"/>
      <c r="I57" s="16"/>
      <c r="J57" s="24"/>
      <c r="K57" s="16"/>
      <c r="L57" s="25"/>
      <c r="M57" s="11" t="str">
        <f aca="false">IF(OR($J57="",$L57=""),"",$J57*$L57)</f>
        <v/>
      </c>
      <c r="N57" s="11" t="str">
        <f aca="false">IF($J57="","",$J57-$M57)</f>
        <v/>
      </c>
      <c r="O57" s="11" t="str">
        <f aca="false">IFERROR(IF(OR($J57="",$F57=""),"",$J57/$F57*1000),"")</f>
        <v/>
      </c>
      <c r="P57" s="11" t="str">
        <f aca="false">IFERROR(IF(OR($J57="",$K57=""),"",$J57/$K57),"")</f>
        <v/>
      </c>
      <c r="Q57" s="11" t="str">
        <f aca="false">IFERROR(IF(OR($J57="",$H57="",$I57=""),"",$J57/($H57*$I57)*1000),"")</f>
        <v/>
      </c>
      <c r="R57" s="23"/>
      <c r="S57" s="23"/>
      <c r="T57" s="23"/>
      <c r="U57" s="23"/>
      <c r="V57" s="26" t="str">
        <f aca="false">IF($J57="","",RANK($J57,$J$6:$J$105,0)+COUNTIF($J$6:$J57,$J57)-1)</f>
        <v/>
      </c>
      <c r="W57" s="26" t="str">
        <f aca="false">IF($O57="","",RANK($O57,$O$6:$O$105,0)+COUNTIF($O$6:$O57,$O57)-1)</f>
        <v/>
      </c>
    </row>
    <row r="58" customFormat="false" ht="15" hidden="false" customHeight="false" outlineLevel="0" collapsed="false">
      <c r="A58" s="9" t="str">
        <f aca="false">IF($B58="","",ROW()-5)</f>
        <v/>
      </c>
      <c r="B58" s="23"/>
      <c r="C58" s="23"/>
      <c r="D58" s="23"/>
      <c r="E58" s="23"/>
      <c r="F58" s="16"/>
      <c r="G58" s="9" t="str">
        <f aca="false">IF($F58="","",LOOKUP($F58,Referensi!$A$6:$A$10,Referensi!$B$6:$B$10))</f>
        <v/>
      </c>
      <c r="H58" s="16"/>
      <c r="I58" s="16"/>
      <c r="J58" s="24"/>
      <c r="K58" s="16"/>
      <c r="L58" s="25"/>
      <c r="M58" s="11" t="str">
        <f aca="false">IF(OR($J58="",$L58=""),"",$J58*$L58)</f>
        <v/>
      </c>
      <c r="N58" s="11" t="str">
        <f aca="false">IF($J58="","",$J58-$M58)</f>
        <v/>
      </c>
      <c r="O58" s="11" t="str">
        <f aca="false">IFERROR(IF(OR($J58="",$F58=""),"",$J58/$F58*1000),"")</f>
        <v/>
      </c>
      <c r="P58" s="11" t="str">
        <f aca="false">IFERROR(IF(OR($J58="",$K58=""),"",$J58/$K58),"")</f>
        <v/>
      </c>
      <c r="Q58" s="11" t="str">
        <f aca="false">IFERROR(IF(OR($J58="",$H58="",$I58=""),"",$J58/($H58*$I58)*1000),"")</f>
        <v/>
      </c>
      <c r="R58" s="23"/>
      <c r="S58" s="23"/>
      <c r="T58" s="23"/>
      <c r="U58" s="23"/>
      <c r="V58" s="26" t="str">
        <f aca="false">IF($J58="","",RANK($J58,$J$6:$J$105,0)+COUNTIF($J$6:$J58,$J58)-1)</f>
        <v/>
      </c>
      <c r="W58" s="26" t="str">
        <f aca="false">IF($O58="","",RANK($O58,$O$6:$O$105,0)+COUNTIF($O$6:$O58,$O58)-1)</f>
        <v/>
      </c>
    </row>
    <row r="59" customFormat="false" ht="15" hidden="false" customHeight="false" outlineLevel="0" collapsed="false">
      <c r="A59" s="9" t="str">
        <f aca="false">IF($B59="","",ROW()-5)</f>
        <v/>
      </c>
      <c r="B59" s="23"/>
      <c r="C59" s="23"/>
      <c r="D59" s="23"/>
      <c r="E59" s="23"/>
      <c r="F59" s="16"/>
      <c r="G59" s="9" t="str">
        <f aca="false">IF($F59="","",LOOKUP($F59,Referensi!$A$6:$A$10,Referensi!$B$6:$B$10))</f>
        <v/>
      </c>
      <c r="H59" s="16"/>
      <c r="I59" s="16"/>
      <c r="J59" s="24"/>
      <c r="K59" s="16"/>
      <c r="L59" s="25"/>
      <c r="M59" s="11" t="str">
        <f aca="false">IF(OR($J59="",$L59=""),"",$J59*$L59)</f>
        <v/>
      </c>
      <c r="N59" s="11" t="str">
        <f aca="false">IF($J59="","",$J59-$M59)</f>
        <v/>
      </c>
      <c r="O59" s="11" t="str">
        <f aca="false">IFERROR(IF(OR($J59="",$F59=""),"",$J59/$F59*1000),"")</f>
        <v/>
      </c>
      <c r="P59" s="11" t="str">
        <f aca="false">IFERROR(IF(OR($J59="",$K59=""),"",$J59/$K59),"")</f>
        <v/>
      </c>
      <c r="Q59" s="11" t="str">
        <f aca="false">IFERROR(IF(OR($J59="",$H59="",$I59=""),"",$J59/($H59*$I59)*1000),"")</f>
        <v/>
      </c>
      <c r="R59" s="23"/>
      <c r="S59" s="23"/>
      <c r="T59" s="23"/>
      <c r="U59" s="23"/>
      <c r="V59" s="26" t="str">
        <f aca="false">IF($J59="","",RANK($J59,$J$6:$J$105,0)+COUNTIF($J$6:$J59,$J59)-1)</f>
        <v/>
      </c>
      <c r="W59" s="26" t="str">
        <f aca="false">IF($O59="","",RANK($O59,$O$6:$O$105,0)+COUNTIF($O$6:$O59,$O59)-1)</f>
        <v/>
      </c>
    </row>
    <row r="60" customFormat="false" ht="15" hidden="false" customHeight="false" outlineLevel="0" collapsed="false">
      <c r="A60" s="9" t="str">
        <f aca="false">IF($B60="","",ROW()-5)</f>
        <v/>
      </c>
      <c r="B60" s="23"/>
      <c r="C60" s="23"/>
      <c r="D60" s="23"/>
      <c r="E60" s="23"/>
      <c r="F60" s="16"/>
      <c r="G60" s="9" t="str">
        <f aca="false">IF($F60="","",LOOKUP($F60,Referensi!$A$6:$A$10,Referensi!$B$6:$B$10))</f>
        <v/>
      </c>
      <c r="H60" s="16"/>
      <c r="I60" s="16"/>
      <c r="J60" s="24"/>
      <c r="K60" s="16"/>
      <c r="L60" s="25"/>
      <c r="M60" s="11" t="str">
        <f aca="false">IF(OR($J60="",$L60=""),"",$J60*$L60)</f>
        <v/>
      </c>
      <c r="N60" s="11" t="str">
        <f aca="false">IF($J60="","",$J60-$M60)</f>
        <v/>
      </c>
      <c r="O60" s="11" t="str">
        <f aca="false">IFERROR(IF(OR($J60="",$F60=""),"",$J60/$F60*1000),"")</f>
        <v/>
      </c>
      <c r="P60" s="11" t="str">
        <f aca="false">IFERROR(IF(OR($J60="",$K60=""),"",$J60/$K60),"")</f>
        <v/>
      </c>
      <c r="Q60" s="11" t="str">
        <f aca="false">IFERROR(IF(OR($J60="",$H60="",$I60=""),"",$J60/($H60*$I60)*1000),"")</f>
        <v/>
      </c>
      <c r="R60" s="23"/>
      <c r="S60" s="23"/>
      <c r="T60" s="23"/>
      <c r="U60" s="23"/>
      <c r="V60" s="26" t="str">
        <f aca="false">IF($J60="","",RANK($J60,$J$6:$J$105,0)+COUNTIF($J$6:$J60,$J60)-1)</f>
        <v/>
      </c>
      <c r="W60" s="26" t="str">
        <f aca="false">IF($O60="","",RANK($O60,$O$6:$O$105,0)+COUNTIF($O$6:$O60,$O60)-1)</f>
        <v/>
      </c>
    </row>
    <row r="61" customFormat="false" ht="15" hidden="false" customHeight="false" outlineLevel="0" collapsed="false">
      <c r="A61" s="9" t="str">
        <f aca="false">IF($B61="","",ROW()-5)</f>
        <v/>
      </c>
      <c r="B61" s="23"/>
      <c r="C61" s="23"/>
      <c r="D61" s="23"/>
      <c r="E61" s="23"/>
      <c r="F61" s="16"/>
      <c r="G61" s="9" t="str">
        <f aca="false">IF($F61="","",LOOKUP($F61,Referensi!$A$6:$A$10,Referensi!$B$6:$B$10))</f>
        <v/>
      </c>
      <c r="H61" s="16"/>
      <c r="I61" s="16"/>
      <c r="J61" s="24"/>
      <c r="K61" s="16"/>
      <c r="L61" s="25"/>
      <c r="M61" s="11" t="str">
        <f aca="false">IF(OR($J61="",$L61=""),"",$J61*$L61)</f>
        <v/>
      </c>
      <c r="N61" s="11" t="str">
        <f aca="false">IF($J61="","",$J61-$M61)</f>
        <v/>
      </c>
      <c r="O61" s="11" t="str">
        <f aca="false">IFERROR(IF(OR($J61="",$F61=""),"",$J61/$F61*1000),"")</f>
        <v/>
      </c>
      <c r="P61" s="11" t="str">
        <f aca="false">IFERROR(IF(OR($J61="",$K61=""),"",$J61/$K61),"")</f>
        <v/>
      </c>
      <c r="Q61" s="11" t="str">
        <f aca="false">IFERROR(IF(OR($J61="",$H61="",$I61=""),"",$J61/($H61*$I61)*1000),"")</f>
        <v/>
      </c>
      <c r="R61" s="23"/>
      <c r="S61" s="23"/>
      <c r="T61" s="23"/>
      <c r="U61" s="23"/>
      <c r="V61" s="26" t="str">
        <f aca="false">IF($J61="","",RANK($J61,$J$6:$J$105,0)+COUNTIF($J$6:$J61,$J61)-1)</f>
        <v/>
      </c>
      <c r="W61" s="26" t="str">
        <f aca="false">IF($O61="","",RANK($O61,$O$6:$O$105,0)+COUNTIF($O$6:$O61,$O61)-1)</f>
        <v/>
      </c>
    </row>
    <row r="62" customFormat="false" ht="15" hidden="false" customHeight="false" outlineLevel="0" collapsed="false">
      <c r="A62" s="9" t="str">
        <f aca="false">IF($B62="","",ROW()-5)</f>
        <v/>
      </c>
      <c r="B62" s="23"/>
      <c r="C62" s="23"/>
      <c r="D62" s="23"/>
      <c r="E62" s="23"/>
      <c r="F62" s="16"/>
      <c r="G62" s="9" t="str">
        <f aca="false">IF($F62="","",LOOKUP($F62,Referensi!$A$6:$A$10,Referensi!$B$6:$B$10))</f>
        <v/>
      </c>
      <c r="H62" s="16"/>
      <c r="I62" s="16"/>
      <c r="J62" s="24"/>
      <c r="K62" s="16"/>
      <c r="L62" s="25"/>
      <c r="M62" s="11" t="str">
        <f aca="false">IF(OR($J62="",$L62=""),"",$J62*$L62)</f>
        <v/>
      </c>
      <c r="N62" s="11" t="str">
        <f aca="false">IF($J62="","",$J62-$M62)</f>
        <v/>
      </c>
      <c r="O62" s="11" t="str">
        <f aca="false">IFERROR(IF(OR($J62="",$F62=""),"",$J62/$F62*1000),"")</f>
        <v/>
      </c>
      <c r="P62" s="11" t="str">
        <f aca="false">IFERROR(IF(OR($J62="",$K62=""),"",$J62/$K62),"")</f>
        <v/>
      </c>
      <c r="Q62" s="11" t="str">
        <f aca="false">IFERROR(IF(OR($J62="",$H62="",$I62=""),"",$J62/($H62*$I62)*1000),"")</f>
        <v/>
      </c>
      <c r="R62" s="23"/>
      <c r="S62" s="23"/>
      <c r="T62" s="23"/>
      <c r="U62" s="23"/>
      <c r="V62" s="26" t="str">
        <f aca="false">IF($J62="","",RANK($J62,$J$6:$J$105,0)+COUNTIF($J$6:$J62,$J62)-1)</f>
        <v/>
      </c>
      <c r="W62" s="26" t="str">
        <f aca="false">IF($O62="","",RANK($O62,$O$6:$O$105,0)+COUNTIF($O$6:$O62,$O62)-1)</f>
        <v/>
      </c>
    </row>
    <row r="63" customFormat="false" ht="15" hidden="false" customHeight="false" outlineLevel="0" collapsed="false">
      <c r="A63" s="9" t="str">
        <f aca="false">IF($B63="","",ROW()-5)</f>
        <v/>
      </c>
      <c r="B63" s="23"/>
      <c r="C63" s="23"/>
      <c r="D63" s="23"/>
      <c r="E63" s="23"/>
      <c r="F63" s="16"/>
      <c r="G63" s="9" t="str">
        <f aca="false">IF($F63="","",LOOKUP($F63,Referensi!$A$6:$A$10,Referensi!$B$6:$B$10))</f>
        <v/>
      </c>
      <c r="H63" s="16"/>
      <c r="I63" s="16"/>
      <c r="J63" s="24"/>
      <c r="K63" s="16"/>
      <c r="L63" s="25"/>
      <c r="M63" s="11" t="str">
        <f aca="false">IF(OR($J63="",$L63=""),"",$J63*$L63)</f>
        <v/>
      </c>
      <c r="N63" s="11" t="str">
        <f aca="false">IF($J63="","",$J63-$M63)</f>
        <v/>
      </c>
      <c r="O63" s="11" t="str">
        <f aca="false">IFERROR(IF(OR($J63="",$F63=""),"",$J63/$F63*1000),"")</f>
        <v/>
      </c>
      <c r="P63" s="11" t="str">
        <f aca="false">IFERROR(IF(OR($J63="",$K63=""),"",$J63/$K63),"")</f>
        <v/>
      </c>
      <c r="Q63" s="11" t="str">
        <f aca="false">IFERROR(IF(OR($J63="",$H63="",$I63=""),"",$J63/($H63*$I63)*1000),"")</f>
        <v/>
      </c>
      <c r="R63" s="23"/>
      <c r="S63" s="23"/>
      <c r="T63" s="23"/>
      <c r="U63" s="23"/>
      <c r="V63" s="26" t="str">
        <f aca="false">IF($J63="","",RANK($J63,$J$6:$J$105,0)+COUNTIF($J$6:$J63,$J63)-1)</f>
        <v/>
      </c>
      <c r="W63" s="26" t="str">
        <f aca="false">IF($O63="","",RANK($O63,$O$6:$O$105,0)+COUNTIF($O$6:$O63,$O63)-1)</f>
        <v/>
      </c>
    </row>
    <row r="64" customFormat="false" ht="15" hidden="false" customHeight="false" outlineLevel="0" collapsed="false">
      <c r="A64" s="9" t="str">
        <f aca="false">IF($B64="","",ROW()-5)</f>
        <v/>
      </c>
      <c r="B64" s="23"/>
      <c r="C64" s="23"/>
      <c r="D64" s="23"/>
      <c r="E64" s="23"/>
      <c r="F64" s="16"/>
      <c r="G64" s="9" t="str">
        <f aca="false">IF($F64="","",LOOKUP($F64,Referensi!$A$6:$A$10,Referensi!$B$6:$B$10))</f>
        <v/>
      </c>
      <c r="H64" s="16"/>
      <c r="I64" s="16"/>
      <c r="J64" s="24"/>
      <c r="K64" s="16"/>
      <c r="L64" s="25"/>
      <c r="M64" s="11" t="str">
        <f aca="false">IF(OR($J64="",$L64=""),"",$J64*$L64)</f>
        <v/>
      </c>
      <c r="N64" s="11" t="str">
        <f aca="false">IF($J64="","",$J64-$M64)</f>
        <v/>
      </c>
      <c r="O64" s="11" t="str">
        <f aca="false">IFERROR(IF(OR($J64="",$F64=""),"",$J64/$F64*1000),"")</f>
        <v/>
      </c>
      <c r="P64" s="11" t="str">
        <f aca="false">IFERROR(IF(OR($J64="",$K64=""),"",$J64/$K64),"")</f>
        <v/>
      </c>
      <c r="Q64" s="11" t="str">
        <f aca="false">IFERROR(IF(OR($J64="",$H64="",$I64=""),"",$J64/($H64*$I64)*1000),"")</f>
        <v/>
      </c>
      <c r="R64" s="23"/>
      <c r="S64" s="23"/>
      <c r="T64" s="23"/>
      <c r="U64" s="23"/>
      <c r="V64" s="26" t="str">
        <f aca="false">IF($J64="","",RANK($J64,$J$6:$J$105,0)+COUNTIF($J$6:$J64,$J64)-1)</f>
        <v/>
      </c>
      <c r="W64" s="26" t="str">
        <f aca="false">IF($O64="","",RANK($O64,$O$6:$O$105,0)+COUNTIF($O$6:$O64,$O64)-1)</f>
        <v/>
      </c>
    </row>
    <row r="65" customFormat="false" ht="15" hidden="false" customHeight="false" outlineLevel="0" collapsed="false">
      <c r="A65" s="9" t="str">
        <f aca="false">IF($B65="","",ROW()-5)</f>
        <v/>
      </c>
      <c r="B65" s="23"/>
      <c r="C65" s="23"/>
      <c r="D65" s="23"/>
      <c r="E65" s="23"/>
      <c r="F65" s="16"/>
      <c r="G65" s="9" t="str">
        <f aca="false">IF($F65="","",LOOKUP($F65,Referensi!$A$6:$A$10,Referensi!$B$6:$B$10))</f>
        <v/>
      </c>
      <c r="H65" s="16"/>
      <c r="I65" s="16"/>
      <c r="J65" s="24"/>
      <c r="K65" s="16"/>
      <c r="L65" s="25"/>
      <c r="M65" s="11" t="str">
        <f aca="false">IF(OR($J65="",$L65=""),"",$J65*$L65)</f>
        <v/>
      </c>
      <c r="N65" s="11" t="str">
        <f aca="false">IF($J65="","",$J65-$M65)</f>
        <v/>
      </c>
      <c r="O65" s="11" t="str">
        <f aca="false">IFERROR(IF(OR($J65="",$F65=""),"",$J65/$F65*1000),"")</f>
        <v/>
      </c>
      <c r="P65" s="11" t="str">
        <f aca="false">IFERROR(IF(OR($J65="",$K65=""),"",$J65/$K65),"")</f>
        <v/>
      </c>
      <c r="Q65" s="11" t="str">
        <f aca="false">IFERROR(IF(OR($J65="",$H65="",$I65=""),"",$J65/($H65*$I65)*1000),"")</f>
        <v/>
      </c>
      <c r="R65" s="23"/>
      <c r="S65" s="23"/>
      <c r="T65" s="23"/>
      <c r="U65" s="23"/>
      <c r="V65" s="26" t="str">
        <f aca="false">IF($J65="","",RANK($J65,$J$6:$J$105,0)+COUNTIF($J$6:$J65,$J65)-1)</f>
        <v/>
      </c>
      <c r="W65" s="26" t="str">
        <f aca="false">IF($O65="","",RANK($O65,$O$6:$O$105,0)+COUNTIF($O$6:$O65,$O65)-1)</f>
        <v/>
      </c>
    </row>
    <row r="66" customFormat="false" ht="15" hidden="false" customHeight="false" outlineLevel="0" collapsed="false">
      <c r="A66" s="9" t="str">
        <f aca="false">IF($B66="","",ROW()-5)</f>
        <v/>
      </c>
      <c r="B66" s="23"/>
      <c r="C66" s="23"/>
      <c r="D66" s="23"/>
      <c r="E66" s="23"/>
      <c r="F66" s="16"/>
      <c r="G66" s="9" t="str">
        <f aca="false">IF($F66="","",LOOKUP($F66,Referensi!$A$6:$A$10,Referensi!$B$6:$B$10))</f>
        <v/>
      </c>
      <c r="H66" s="16"/>
      <c r="I66" s="16"/>
      <c r="J66" s="24"/>
      <c r="K66" s="16"/>
      <c r="L66" s="25"/>
      <c r="M66" s="11" t="str">
        <f aca="false">IF(OR($J66="",$L66=""),"",$J66*$L66)</f>
        <v/>
      </c>
      <c r="N66" s="11" t="str">
        <f aca="false">IF($J66="","",$J66-$M66)</f>
        <v/>
      </c>
      <c r="O66" s="11" t="str">
        <f aca="false">IFERROR(IF(OR($J66="",$F66=""),"",$J66/$F66*1000),"")</f>
        <v/>
      </c>
      <c r="P66" s="11" t="str">
        <f aca="false">IFERROR(IF(OR($J66="",$K66=""),"",$J66/$K66),"")</f>
        <v/>
      </c>
      <c r="Q66" s="11" t="str">
        <f aca="false">IFERROR(IF(OR($J66="",$H66="",$I66=""),"",$J66/($H66*$I66)*1000),"")</f>
        <v/>
      </c>
      <c r="R66" s="23"/>
      <c r="S66" s="23"/>
      <c r="T66" s="23"/>
      <c r="U66" s="23"/>
      <c r="V66" s="26" t="str">
        <f aca="false">IF($J66="","",RANK($J66,$J$6:$J$105,0)+COUNTIF($J$6:$J66,$J66)-1)</f>
        <v/>
      </c>
      <c r="W66" s="26" t="str">
        <f aca="false">IF($O66="","",RANK($O66,$O$6:$O$105,0)+COUNTIF($O$6:$O66,$O66)-1)</f>
        <v/>
      </c>
    </row>
    <row r="67" customFormat="false" ht="15" hidden="false" customHeight="false" outlineLevel="0" collapsed="false">
      <c r="A67" s="9" t="str">
        <f aca="false">IF($B67="","",ROW()-5)</f>
        <v/>
      </c>
      <c r="B67" s="23"/>
      <c r="C67" s="23"/>
      <c r="D67" s="23"/>
      <c r="E67" s="23"/>
      <c r="F67" s="16"/>
      <c r="G67" s="9" t="str">
        <f aca="false">IF($F67="","",LOOKUP($F67,Referensi!$A$6:$A$10,Referensi!$B$6:$B$10))</f>
        <v/>
      </c>
      <c r="H67" s="16"/>
      <c r="I67" s="16"/>
      <c r="J67" s="24"/>
      <c r="K67" s="16"/>
      <c r="L67" s="25"/>
      <c r="M67" s="11" t="str">
        <f aca="false">IF(OR($J67="",$L67=""),"",$J67*$L67)</f>
        <v/>
      </c>
      <c r="N67" s="11" t="str">
        <f aca="false">IF($J67="","",$J67-$M67)</f>
        <v/>
      </c>
      <c r="O67" s="11" t="str">
        <f aca="false">IFERROR(IF(OR($J67="",$F67=""),"",$J67/$F67*1000),"")</f>
        <v/>
      </c>
      <c r="P67" s="11" t="str">
        <f aca="false">IFERROR(IF(OR($J67="",$K67=""),"",$J67/$K67),"")</f>
        <v/>
      </c>
      <c r="Q67" s="11" t="str">
        <f aca="false">IFERROR(IF(OR($J67="",$H67="",$I67=""),"",$J67/($H67*$I67)*1000),"")</f>
        <v/>
      </c>
      <c r="R67" s="23"/>
      <c r="S67" s="23"/>
      <c r="T67" s="23"/>
      <c r="U67" s="23"/>
      <c r="V67" s="26" t="str">
        <f aca="false">IF($J67="","",RANK($J67,$J$6:$J$105,0)+COUNTIF($J$6:$J67,$J67)-1)</f>
        <v/>
      </c>
      <c r="W67" s="26" t="str">
        <f aca="false">IF($O67="","",RANK($O67,$O$6:$O$105,0)+COUNTIF($O$6:$O67,$O67)-1)</f>
        <v/>
      </c>
    </row>
    <row r="68" customFormat="false" ht="15" hidden="false" customHeight="false" outlineLevel="0" collapsed="false">
      <c r="A68" s="9" t="str">
        <f aca="false">IF($B68="","",ROW()-5)</f>
        <v/>
      </c>
      <c r="B68" s="23"/>
      <c r="C68" s="23"/>
      <c r="D68" s="23"/>
      <c r="E68" s="23"/>
      <c r="F68" s="16"/>
      <c r="G68" s="9" t="str">
        <f aca="false">IF($F68="","",LOOKUP($F68,Referensi!$A$6:$A$10,Referensi!$B$6:$B$10))</f>
        <v/>
      </c>
      <c r="H68" s="16"/>
      <c r="I68" s="16"/>
      <c r="J68" s="24"/>
      <c r="K68" s="16"/>
      <c r="L68" s="25"/>
      <c r="M68" s="11" t="str">
        <f aca="false">IF(OR($J68="",$L68=""),"",$J68*$L68)</f>
        <v/>
      </c>
      <c r="N68" s="11" t="str">
        <f aca="false">IF($J68="","",$J68-$M68)</f>
        <v/>
      </c>
      <c r="O68" s="11" t="str">
        <f aca="false">IFERROR(IF(OR($J68="",$F68=""),"",$J68/$F68*1000),"")</f>
        <v/>
      </c>
      <c r="P68" s="11" t="str">
        <f aca="false">IFERROR(IF(OR($J68="",$K68=""),"",$J68/$K68),"")</f>
        <v/>
      </c>
      <c r="Q68" s="11" t="str">
        <f aca="false">IFERROR(IF(OR($J68="",$H68="",$I68=""),"",$J68/($H68*$I68)*1000),"")</f>
        <v/>
      </c>
      <c r="R68" s="23"/>
      <c r="S68" s="23"/>
      <c r="T68" s="23"/>
      <c r="U68" s="23"/>
      <c r="V68" s="26" t="str">
        <f aca="false">IF($J68="","",RANK($J68,$J$6:$J$105,0)+COUNTIF($J$6:$J68,$J68)-1)</f>
        <v/>
      </c>
      <c r="W68" s="26" t="str">
        <f aca="false">IF($O68="","",RANK($O68,$O$6:$O$105,0)+COUNTIF($O$6:$O68,$O68)-1)</f>
        <v/>
      </c>
    </row>
    <row r="69" customFormat="false" ht="15" hidden="false" customHeight="false" outlineLevel="0" collapsed="false">
      <c r="A69" s="9" t="str">
        <f aca="false">IF($B69="","",ROW()-5)</f>
        <v/>
      </c>
      <c r="B69" s="23"/>
      <c r="C69" s="23"/>
      <c r="D69" s="23"/>
      <c r="E69" s="23"/>
      <c r="F69" s="16"/>
      <c r="G69" s="9" t="str">
        <f aca="false">IF($F69="","",LOOKUP($F69,Referensi!$A$6:$A$10,Referensi!$B$6:$B$10))</f>
        <v/>
      </c>
      <c r="H69" s="16"/>
      <c r="I69" s="16"/>
      <c r="J69" s="24"/>
      <c r="K69" s="16"/>
      <c r="L69" s="25"/>
      <c r="M69" s="11" t="str">
        <f aca="false">IF(OR($J69="",$L69=""),"",$J69*$L69)</f>
        <v/>
      </c>
      <c r="N69" s="11" t="str">
        <f aca="false">IF($J69="","",$J69-$M69)</f>
        <v/>
      </c>
      <c r="O69" s="11" t="str">
        <f aca="false">IFERROR(IF(OR($J69="",$F69=""),"",$J69/$F69*1000),"")</f>
        <v/>
      </c>
      <c r="P69" s="11" t="str">
        <f aca="false">IFERROR(IF(OR($J69="",$K69=""),"",$J69/$K69),"")</f>
        <v/>
      </c>
      <c r="Q69" s="11" t="str">
        <f aca="false">IFERROR(IF(OR($J69="",$H69="",$I69=""),"",$J69/($H69*$I69)*1000),"")</f>
        <v/>
      </c>
      <c r="R69" s="23"/>
      <c r="S69" s="23"/>
      <c r="T69" s="23"/>
      <c r="U69" s="23"/>
      <c r="V69" s="26" t="str">
        <f aca="false">IF($J69="","",RANK($J69,$J$6:$J$105,0)+COUNTIF($J$6:$J69,$J69)-1)</f>
        <v/>
      </c>
      <c r="W69" s="26" t="str">
        <f aca="false">IF($O69="","",RANK($O69,$O$6:$O$105,0)+COUNTIF($O$6:$O69,$O69)-1)</f>
        <v/>
      </c>
    </row>
    <row r="70" customFormat="false" ht="15" hidden="false" customHeight="false" outlineLevel="0" collapsed="false">
      <c r="A70" s="9" t="str">
        <f aca="false">IF($B70="","",ROW()-5)</f>
        <v/>
      </c>
      <c r="B70" s="23"/>
      <c r="C70" s="23"/>
      <c r="D70" s="23"/>
      <c r="E70" s="23"/>
      <c r="F70" s="16"/>
      <c r="G70" s="9" t="str">
        <f aca="false">IF($F70="","",LOOKUP($F70,Referensi!$A$6:$A$10,Referensi!$B$6:$B$10))</f>
        <v/>
      </c>
      <c r="H70" s="16"/>
      <c r="I70" s="16"/>
      <c r="J70" s="24"/>
      <c r="K70" s="16"/>
      <c r="L70" s="25"/>
      <c r="M70" s="11" t="str">
        <f aca="false">IF(OR($J70="",$L70=""),"",$J70*$L70)</f>
        <v/>
      </c>
      <c r="N70" s="11" t="str">
        <f aca="false">IF($J70="","",$J70-$M70)</f>
        <v/>
      </c>
      <c r="O70" s="11" t="str">
        <f aca="false">IFERROR(IF(OR($J70="",$F70=""),"",$J70/$F70*1000),"")</f>
        <v/>
      </c>
      <c r="P70" s="11" t="str">
        <f aca="false">IFERROR(IF(OR($J70="",$K70=""),"",$J70/$K70),"")</f>
        <v/>
      </c>
      <c r="Q70" s="11" t="str">
        <f aca="false">IFERROR(IF(OR($J70="",$H70="",$I70=""),"",$J70/($H70*$I70)*1000),"")</f>
        <v/>
      </c>
      <c r="R70" s="23"/>
      <c r="S70" s="23"/>
      <c r="T70" s="23"/>
      <c r="U70" s="23"/>
      <c r="V70" s="26" t="str">
        <f aca="false">IF($J70="","",RANK($J70,$J$6:$J$105,0)+COUNTIF($J$6:$J70,$J70)-1)</f>
        <v/>
      </c>
      <c r="W70" s="26" t="str">
        <f aca="false">IF($O70="","",RANK($O70,$O$6:$O$105,0)+COUNTIF($O$6:$O70,$O70)-1)</f>
        <v/>
      </c>
    </row>
    <row r="71" customFormat="false" ht="15" hidden="false" customHeight="false" outlineLevel="0" collapsed="false">
      <c r="A71" s="9" t="str">
        <f aca="false">IF($B71="","",ROW()-5)</f>
        <v/>
      </c>
      <c r="B71" s="23"/>
      <c r="C71" s="23"/>
      <c r="D71" s="23"/>
      <c r="E71" s="23"/>
      <c r="F71" s="16"/>
      <c r="G71" s="9" t="str">
        <f aca="false">IF($F71="","",LOOKUP($F71,Referensi!$A$6:$A$10,Referensi!$B$6:$B$10))</f>
        <v/>
      </c>
      <c r="H71" s="16"/>
      <c r="I71" s="16"/>
      <c r="J71" s="24"/>
      <c r="K71" s="16"/>
      <c r="L71" s="25"/>
      <c r="M71" s="11" t="str">
        <f aca="false">IF(OR($J71="",$L71=""),"",$J71*$L71)</f>
        <v/>
      </c>
      <c r="N71" s="11" t="str">
        <f aca="false">IF($J71="","",$J71-$M71)</f>
        <v/>
      </c>
      <c r="O71" s="11" t="str">
        <f aca="false">IFERROR(IF(OR($J71="",$F71=""),"",$J71/$F71*1000),"")</f>
        <v/>
      </c>
      <c r="P71" s="11" t="str">
        <f aca="false">IFERROR(IF(OR($J71="",$K71=""),"",$J71/$K71),"")</f>
        <v/>
      </c>
      <c r="Q71" s="11" t="str">
        <f aca="false">IFERROR(IF(OR($J71="",$H71="",$I71=""),"",$J71/($H71*$I71)*1000),"")</f>
        <v/>
      </c>
      <c r="R71" s="23"/>
      <c r="S71" s="23"/>
      <c r="T71" s="23"/>
      <c r="U71" s="23"/>
      <c r="V71" s="26" t="str">
        <f aca="false">IF($J71="","",RANK($J71,$J$6:$J$105,0)+COUNTIF($J$6:$J71,$J71)-1)</f>
        <v/>
      </c>
      <c r="W71" s="26" t="str">
        <f aca="false">IF($O71="","",RANK($O71,$O$6:$O$105,0)+COUNTIF($O$6:$O71,$O71)-1)</f>
        <v/>
      </c>
    </row>
    <row r="72" customFormat="false" ht="15" hidden="false" customHeight="false" outlineLevel="0" collapsed="false">
      <c r="A72" s="9" t="str">
        <f aca="false">IF($B72="","",ROW()-5)</f>
        <v/>
      </c>
      <c r="B72" s="23"/>
      <c r="C72" s="23"/>
      <c r="D72" s="23"/>
      <c r="E72" s="23"/>
      <c r="F72" s="16"/>
      <c r="G72" s="9" t="str">
        <f aca="false">IF($F72="","",LOOKUP($F72,Referensi!$A$6:$A$10,Referensi!$B$6:$B$10))</f>
        <v/>
      </c>
      <c r="H72" s="16"/>
      <c r="I72" s="16"/>
      <c r="J72" s="24"/>
      <c r="K72" s="16"/>
      <c r="L72" s="25"/>
      <c r="M72" s="11" t="str">
        <f aca="false">IF(OR($J72="",$L72=""),"",$J72*$L72)</f>
        <v/>
      </c>
      <c r="N72" s="11" t="str">
        <f aca="false">IF($J72="","",$J72-$M72)</f>
        <v/>
      </c>
      <c r="O72" s="11" t="str">
        <f aca="false">IFERROR(IF(OR($J72="",$F72=""),"",$J72/$F72*1000),"")</f>
        <v/>
      </c>
      <c r="P72" s="11" t="str">
        <f aca="false">IFERROR(IF(OR($J72="",$K72=""),"",$J72/$K72),"")</f>
        <v/>
      </c>
      <c r="Q72" s="11" t="str">
        <f aca="false">IFERROR(IF(OR($J72="",$H72="",$I72=""),"",$J72/($H72*$I72)*1000),"")</f>
        <v/>
      </c>
      <c r="R72" s="23"/>
      <c r="S72" s="23"/>
      <c r="T72" s="23"/>
      <c r="U72" s="23"/>
      <c r="V72" s="26" t="str">
        <f aca="false">IF($J72="","",RANK($J72,$J$6:$J$105,0)+COUNTIF($J$6:$J72,$J72)-1)</f>
        <v/>
      </c>
      <c r="W72" s="26" t="str">
        <f aca="false">IF($O72="","",RANK($O72,$O$6:$O$105,0)+COUNTIF($O$6:$O72,$O72)-1)</f>
        <v/>
      </c>
    </row>
    <row r="73" customFormat="false" ht="15" hidden="false" customHeight="false" outlineLevel="0" collapsed="false">
      <c r="A73" s="9" t="str">
        <f aca="false">IF($B73="","",ROW()-5)</f>
        <v/>
      </c>
      <c r="B73" s="23"/>
      <c r="C73" s="23"/>
      <c r="D73" s="23"/>
      <c r="E73" s="23"/>
      <c r="F73" s="16"/>
      <c r="G73" s="9" t="str">
        <f aca="false">IF($F73="","",LOOKUP($F73,Referensi!$A$6:$A$10,Referensi!$B$6:$B$10))</f>
        <v/>
      </c>
      <c r="H73" s="16"/>
      <c r="I73" s="16"/>
      <c r="J73" s="24"/>
      <c r="K73" s="16"/>
      <c r="L73" s="25"/>
      <c r="M73" s="11" t="str">
        <f aca="false">IF(OR($J73="",$L73=""),"",$J73*$L73)</f>
        <v/>
      </c>
      <c r="N73" s="11" t="str">
        <f aca="false">IF($J73="","",$J73-$M73)</f>
        <v/>
      </c>
      <c r="O73" s="11" t="str">
        <f aca="false">IFERROR(IF(OR($J73="",$F73=""),"",$J73/$F73*1000),"")</f>
        <v/>
      </c>
      <c r="P73" s="11" t="str">
        <f aca="false">IFERROR(IF(OR($J73="",$K73=""),"",$J73/$K73),"")</f>
        <v/>
      </c>
      <c r="Q73" s="11" t="str">
        <f aca="false">IFERROR(IF(OR($J73="",$H73="",$I73=""),"",$J73/($H73*$I73)*1000),"")</f>
        <v/>
      </c>
      <c r="R73" s="23"/>
      <c r="S73" s="23"/>
      <c r="T73" s="23"/>
      <c r="U73" s="23"/>
      <c r="V73" s="26" t="str">
        <f aca="false">IF($J73="","",RANK($J73,$J$6:$J$105,0)+COUNTIF($J$6:$J73,$J73)-1)</f>
        <v/>
      </c>
      <c r="W73" s="26" t="str">
        <f aca="false">IF($O73="","",RANK($O73,$O$6:$O$105,0)+COUNTIF($O$6:$O73,$O73)-1)</f>
        <v/>
      </c>
    </row>
    <row r="74" customFormat="false" ht="15" hidden="false" customHeight="false" outlineLevel="0" collapsed="false">
      <c r="A74" s="9" t="str">
        <f aca="false">IF($B74="","",ROW()-5)</f>
        <v/>
      </c>
      <c r="B74" s="23"/>
      <c r="C74" s="23"/>
      <c r="D74" s="23"/>
      <c r="E74" s="23"/>
      <c r="F74" s="16"/>
      <c r="G74" s="9" t="str">
        <f aca="false">IF($F74="","",LOOKUP($F74,Referensi!$A$6:$A$10,Referensi!$B$6:$B$10))</f>
        <v/>
      </c>
      <c r="H74" s="16"/>
      <c r="I74" s="16"/>
      <c r="J74" s="24"/>
      <c r="K74" s="16"/>
      <c r="L74" s="25"/>
      <c r="M74" s="11" t="str">
        <f aca="false">IF(OR($J74="",$L74=""),"",$J74*$L74)</f>
        <v/>
      </c>
      <c r="N74" s="11" t="str">
        <f aca="false">IF($J74="","",$J74-$M74)</f>
        <v/>
      </c>
      <c r="O74" s="11" t="str">
        <f aca="false">IFERROR(IF(OR($J74="",$F74=""),"",$J74/$F74*1000),"")</f>
        <v/>
      </c>
      <c r="P74" s="11" t="str">
        <f aca="false">IFERROR(IF(OR($J74="",$K74=""),"",$J74/$K74),"")</f>
        <v/>
      </c>
      <c r="Q74" s="11" t="str">
        <f aca="false">IFERROR(IF(OR($J74="",$H74="",$I74=""),"",$J74/($H74*$I74)*1000),"")</f>
        <v/>
      </c>
      <c r="R74" s="23"/>
      <c r="S74" s="23"/>
      <c r="T74" s="23"/>
      <c r="U74" s="23"/>
      <c r="V74" s="26" t="str">
        <f aca="false">IF($J74="","",RANK($J74,$J$6:$J$105,0)+COUNTIF($J$6:$J74,$J74)-1)</f>
        <v/>
      </c>
      <c r="W74" s="26" t="str">
        <f aca="false">IF($O74="","",RANK($O74,$O$6:$O$105,0)+COUNTIF($O$6:$O74,$O74)-1)</f>
        <v/>
      </c>
    </row>
    <row r="75" customFormat="false" ht="15" hidden="false" customHeight="false" outlineLevel="0" collapsed="false">
      <c r="A75" s="9" t="str">
        <f aca="false">IF($B75="","",ROW()-5)</f>
        <v/>
      </c>
      <c r="B75" s="23"/>
      <c r="C75" s="23"/>
      <c r="D75" s="23"/>
      <c r="E75" s="23"/>
      <c r="F75" s="16"/>
      <c r="G75" s="9" t="str">
        <f aca="false">IF($F75="","",LOOKUP($F75,Referensi!$A$6:$A$10,Referensi!$B$6:$B$10))</f>
        <v/>
      </c>
      <c r="H75" s="16"/>
      <c r="I75" s="16"/>
      <c r="J75" s="24"/>
      <c r="K75" s="16"/>
      <c r="L75" s="25"/>
      <c r="M75" s="11" t="str">
        <f aca="false">IF(OR($J75="",$L75=""),"",$J75*$L75)</f>
        <v/>
      </c>
      <c r="N75" s="11" t="str">
        <f aca="false">IF($J75="","",$J75-$M75)</f>
        <v/>
      </c>
      <c r="O75" s="11" t="str">
        <f aca="false">IFERROR(IF(OR($J75="",$F75=""),"",$J75/$F75*1000),"")</f>
        <v/>
      </c>
      <c r="P75" s="11" t="str">
        <f aca="false">IFERROR(IF(OR($J75="",$K75=""),"",$J75/$K75),"")</f>
        <v/>
      </c>
      <c r="Q75" s="11" t="str">
        <f aca="false">IFERROR(IF(OR($J75="",$H75="",$I75=""),"",$J75/($H75*$I75)*1000),"")</f>
        <v/>
      </c>
      <c r="R75" s="23"/>
      <c r="S75" s="23"/>
      <c r="T75" s="23"/>
      <c r="U75" s="23"/>
      <c r="V75" s="26" t="str">
        <f aca="false">IF($J75="","",RANK($J75,$J$6:$J$105,0)+COUNTIF($J$6:$J75,$J75)-1)</f>
        <v/>
      </c>
      <c r="W75" s="26" t="str">
        <f aca="false">IF($O75="","",RANK($O75,$O$6:$O$105,0)+COUNTIF($O$6:$O75,$O75)-1)</f>
        <v/>
      </c>
    </row>
    <row r="76" customFormat="false" ht="15" hidden="false" customHeight="false" outlineLevel="0" collapsed="false">
      <c r="A76" s="9" t="str">
        <f aca="false">IF($B76="","",ROW()-5)</f>
        <v/>
      </c>
      <c r="B76" s="23"/>
      <c r="C76" s="23"/>
      <c r="D76" s="23"/>
      <c r="E76" s="23"/>
      <c r="F76" s="16"/>
      <c r="G76" s="9" t="str">
        <f aca="false">IF($F76="","",LOOKUP($F76,Referensi!$A$6:$A$10,Referensi!$B$6:$B$10))</f>
        <v/>
      </c>
      <c r="H76" s="16"/>
      <c r="I76" s="16"/>
      <c r="J76" s="24"/>
      <c r="K76" s="16"/>
      <c r="L76" s="25"/>
      <c r="M76" s="11" t="str">
        <f aca="false">IF(OR($J76="",$L76=""),"",$J76*$L76)</f>
        <v/>
      </c>
      <c r="N76" s="11" t="str">
        <f aca="false">IF($J76="","",$J76-$M76)</f>
        <v/>
      </c>
      <c r="O76" s="11" t="str">
        <f aca="false">IFERROR(IF(OR($J76="",$F76=""),"",$J76/$F76*1000),"")</f>
        <v/>
      </c>
      <c r="P76" s="11" t="str">
        <f aca="false">IFERROR(IF(OR($J76="",$K76=""),"",$J76/$K76),"")</f>
        <v/>
      </c>
      <c r="Q76" s="11" t="str">
        <f aca="false">IFERROR(IF(OR($J76="",$H76="",$I76=""),"",$J76/($H76*$I76)*1000),"")</f>
        <v/>
      </c>
      <c r="R76" s="23"/>
      <c r="S76" s="23"/>
      <c r="T76" s="23"/>
      <c r="U76" s="23"/>
      <c r="V76" s="26" t="str">
        <f aca="false">IF($J76="","",RANK($J76,$J$6:$J$105,0)+COUNTIF($J$6:$J76,$J76)-1)</f>
        <v/>
      </c>
      <c r="W76" s="26" t="str">
        <f aca="false">IF($O76="","",RANK($O76,$O$6:$O$105,0)+COUNTIF($O$6:$O76,$O76)-1)</f>
        <v/>
      </c>
    </row>
    <row r="77" customFormat="false" ht="15" hidden="false" customHeight="false" outlineLevel="0" collapsed="false">
      <c r="A77" s="9" t="str">
        <f aca="false">IF($B77="","",ROW()-5)</f>
        <v/>
      </c>
      <c r="B77" s="23"/>
      <c r="C77" s="23"/>
      <c r="D77" s="23"/>
      <c r="E77" s="23"/>
      <c r="F77" s="16"/>
      <c r="G77" s="9" t="str">
        <f aca="false">IF($F77="","",LOOKUP($F77,Referensi!$A$6:$A$10,Referensi!$B$6:$B$10))</f>
        <v/>
      </c>
      <c r="H77" s="16"/>
      <c r="I77" s="16"/>
      <c r="J77" s="24"/>
      <c r="K77" s="16"/>
      <c r="L77" s="25"/>
      <c r="M77" s="11" t="str">
        <f aca="false">IF(OR($J77="",$L77=""),"",$J77*$L77)</f>
        <v/>
      </c>
      <c r="N77" s="11" t="str">
        <f aca="false">IF($J77="","",$J77-$M77)</f>
        <v/>
      </c>
      <c r="O77" s="11" t="str">
        <f aca="false">IFERROR(IF(OR($J77="",$F77=""),"",$J77/$F77*1000),"")</f>
        <v/>
      </c>
      <c r="P77" s="11" t="str">
        <f aca="false">IFERROR(IF(OR($J77="",$K77=""),"",$J77/$K77),"")</f>
        <v/>
      </c>
      <c r="Q77" s="11" t="str">
        <f aca="false">IFERROR(IF(OR($J77="",$H77="",$I77=""),"",$J77/($H77*$I77)*1000),"")</f>
        <v/>
      </c>
      <c r="R77" s="23"/>
      <c r="S77" s="23"/>
      <c r="T77" s="23"/>
      <c r="U77" s="23"/>
      <c r="V77" s="26" t="str">
        <f aca="false">IF($J77="","",RANK($J77,$J$6:$J$105,0)+COUNTIF($J$6:$J77,$J77)-1)</f>
        <v/>
      </c>
      <c r="W77" s="26" t="str">
        <f aca="false">IF($O77="","",RANK($O77,$O$6:$O$105,0)+COUNTIF($O$6:$O77,$O77)-1)</f>
        <v/>
      </c>
    </row>
    <row r="78" customFormat="false" ht="15" hidden="false" customHeight="false" outlineLevel="0" collapsed="false">
      <c r="A78" s="9" t="str">
        <f aca="false">IF($B78="","",ROW()-5)</f>
        <v/>
      </c>
      <c r="B78" s="23"/>
      <c r="C78" s="23"/>
      <c r="D78" s="23"/>
      <c r="E78" s="23"/>
      <c r="F78" s="16"/>
      <c r="G78" s="9" t="str">
        <f aca="false">IF($F78="","",LOOKUP($F78,Referensi!$A$6:$A$10,Referensi!$B$6:$B$10))</f>
        <v/>
      </c>
      <c r="H78" s="16"/>
      <c r="I78" s="16"/>
      <c r="J78" s="24"/>
      <c r="K78" s="16"/>
      <c r="L78" s="25"/>
      <c r="M78" s="11" t="str">
        <f aca="false">IF(OR($J78="",$L78=""),"",$J78*$L78)</f>
        <v/>
      </c>
      <c r="N78" s="11" t="str">
        <f aca="false">IF($J78="","",$J78-$M78)</f>
        <v/>
      </c>
      <c r="O78" s="11" t="str">
        <f aca="false">IFERROR(IF(OR($J78="",$F78=""),"",$J78/$F78*1000),"")</f>
        <v/>
      </c>
      <c r="P78" s="11" t="str">
        <f aca="false">IFERROR(IF(OR($J78="",$K78=""),"",$J78/$K78),"")</f>
        <v/>
      </c>
      <c r="Q78" s="11" t="str">
        <f aca="false">IFERROR(IF(OR($J78="",$H78="",$I78=""),"",$J78/($H78*$I78)*1000),"")</f>
        <v/>
      </c>
      <c r="R78" s="23"/>
      <c r="S78" s="23"/>
      <c r="T78" s="23"/>
      <c r="U78" s="23"/>
      <c r="V78" s="26" t="str">
        <f aca="false">IF($J78="","",RANK($J78,$J$6:$J$105,0)+COUNTIF($J$6:$J78,$J78)-1)</f>
        <v/>
      </c>
      <c r="W78" s="26" t="str">
        <f aca="false">IF($O78="","",RANK($O78,$O$6:$O$105,0)+COUNTIF($O$6:$O78,$O78)-1)</f>
        <v/>
      </c>
    </row>
    <row r="79" customFormat="false" ht="15" hidden="false" customHeight="false" outlineLevel="0" collapsed="false">
      <c r="A79" s="9" t="str">
        <f aca="false">IF($B79="","",ROW()-5)</f>
        <v/>
      </c>
      <c r="B79" s="23"/>
      <c r="C79" s="23"/>
      <c r="D79" s="23"/>
      <c r="E79" s="23"/>
      <c r="F79" s="16"/>
      <c r="G79" s="9" t="str">
        <f aca="false">IF($F79="","",LOOKUP($F79,Referensi!$A$6:$A$10,Referensi!$B$6:$B$10))</f>
        <v/>
      </c>
      <c r="H79" s="16"/>
      <c r="I79" s="16"/>
      <c r="J79" s="24"/>
      <c r="K79" s="16"/>
      <c r="L79" s="25"/>
      <c r="M79" s="11" t="str">
        <f aca="false">IF(OR($J79="",$L79=""),"",$J79*$L79)</f>
        <v/>
      </c>
      <c r="N79" s="11" t="str">
        <f aca="false">IF($J79="","",$J79-$M79)</f>
        <v/>
      </c>
      <c r="O79" s="11" t="str">
        <f aca="false">IFERROR(IF(OR($J79="",$F79=""),"",$J79/$F79*1000),"")</f>
        <v/>
      </c>
      <c r="P79" s="11" t="str">
        <f aca="false">IFERROR(IF(OR($J79="",$K79=""),"",$J79/$K79),"")</f>
        <v/>
      </c>
      <c r="Q79" s="11" t="str">
        <f aca="false">IFERROR(IF(OR($J79="",$H79="",$I79=""),"",$J79/($H79*$I79)*1000),"")</f>
        <v/>
      </c>
      <c r="R79" s="23"/>
      <c r="S79" s="23"/>
      <c r="T79" s="23"/>
      <c r="U79" s="23"/>
      <c r="V79" s="26" t="str">
        <f aca="false">IF($J79="","",RANK($J79,$J$6:$J$105,0)+COUNTIF($J$6:$J79,$J79)-1)</f>
        <v/>
      </c>
      <c r="W79" s="26" t="str">
        <f aca="false">IF($O79="","",RANK($O79,$O$6:$O$105,0)+COUNTIF($O$6:$O79,$O79)-1)</f>
        <v/>
      </c>
    </row>
    <row r="80" customFormat="false" ht="15" hidden="false" customHeight="false" outlineLevel="0" collapsed="false">
      <c r="A80" s="9" t="str">
        <f aca="false">IF($B80="","",ROW()-5)</f>
        <v/>
      </c>
      <c r="B80" s="23"/>
      <c r="C80" s="23"/>
      <c r="D80" s="23"/>
      <c r="E80" s="23"/>
      <c r="F80" s="16"/>
      <c r="G80" s="9" t="str">
        <f aca="false">IF($F80="","",LOOKUP($F80,Referensi!$A$6:$A$10,Referensi!$B$6:$B$10))</f>
        <v/>
      </c>
      <c r="H80" s="16"/>
      <c r="I80" s="16"/>
      <c r="J80" s="24"/>
      <c r="K80" s="16"/>
      <c r="L80" s="25"/>
      <c r="M80" s="11" t="str">
        <f aca="false">IF(OR($J80="",$L80=""),"",$J80*$L80)</f>
        <v/>
      </c>
      <c r="N80" s="11" t="str">
        <f aca="false">IF($J80="","",$J80-$M80)</f>
        <v/>
      </c>
      <c r="O80" s="11" t="str">
        <f aca="false">IFERROR(IF(OR($J80="",$F80=""),"",$J80/$F80*1000),"")</f>
        <v/>
      </c>
      <c r="P80" s="11" t="str">
        <f aca="false">IFERROR(IF(OR($J80="",$K80=""),"",$J80/$K80),"")</f>
        <v/>
      </c>
      <c r="Q80" s="11" t="str">
        <f aca="false">IFERROR(IF(OR($J80="",$H80="",$I80=""),"",$J80/($H80*$I80)*1000),"")</f>
        <v/>
      </c>
      <c r="R80" s="23"/>
      <c r="S80" s="23"/>
      <c r="T80" s="23"/>
      <c r="U80" s="23"/>
      <c r="V80" s="26" t="str">
        <f aca="false">IF($J80="","",RANK($J80,$J$6:$J$105,0)+COUNTIF($J$6:$J80,$J80)-1)</f>
        <v/>
      </c>
      <c r="W80" s="26" t="str">
        <f aca="false">IF($O80="","",RANK($O80,$O$6:$O$105,0)+COUNTIF($O$6:$O80,$O80)-1)</f>
        <v/>
      </c>
    </row>
    <row r="81" customFormat="false" ht="15" hidden="false" customHeight="false" outlineLevel="0" collapsed="false">
      <c r="A81" s="9" t="str">
        <f aca="false">IF($B81="","",ROW()-5)</f>
        <v/>
      </c>
      <c r="B81" s="23"/>
      <c r="C81" s="23"/>
      <c r="D81" s="23"/>
      <c r="E81" s="23"/>
      <c r="F81" s="16"/>
      <c r="G81" s="9" t="str">
        <f aca="false">IF($F81="","",LOOKUP($F81,Referensi!$A$6:$A$10,Referensi!$B$6:$B$10))</f>
        <v/>
      </c>
      <c r="H81" s="16"/>
      <c r="I81" s="16"/>
      <c r="J81" s="24"/>
      <c r="K81" s="16"/>
      <c r="L81" s="25"/>
      <c r="M81" s="11" t="str">
        <f aca="false">IF(OR($J81="",$L81=""),"",$J81*$L81)</f>
        <v/>
      </c>
      <c r="N81" s="11" t="str">
        <f aca="false">IF($J81="","",$J81-$M81)</f>
        <v/>
      </c>
      <c r="O81" s="11" t="str">
        <f aca="false">IFERROR(IF(OR($J81="",$F81=""),"",$J81/$F81*1000),"")</f>
        <v/>
      </c>
      <c r="P81" s="11" t="str">
        <f aca="false">IFERROR(IF(OR($J81="",$K81=""),"",$J81/$K81),"")</f>
        <v/>
      </c>
      <c r="Q81" s="11" t="str">
        <f aca="false">IFERROR(IF(OR($J81="",$H81="",$I81=""),"",$J81/($H81*$I81)*1000),"")</f>
        <v/>
      </c>
      <c r="R81" s="23"/>
      <c r="S81" s="23"/>
      <c r="T81" s="23"/>
      <c r="U81" s="23"/>
      <c r="V81" s="26" t="str">
        <f aca="false">IF($J81="","",RANK($J81,$J$6:$J$105,0)+COUNTIF($J$6:$J81,$J81)-1)</f>
        <v/>
      </c>
      <c r="W81" s="26" t="str">
        <f aca="false">IF($O81="","",RANK($O81,$O$6:$O$105,0)+COUNTIF($O$6:$O81,$O81)-1)</f>
        <v/>
      </c>
    </row>
    <row r="82" customFormat="false" ht="15" hidden="false" customHeight="false" outlineLevel="0" collapsed="false">
      <c r="A82" s="9" t="str">
        <f aca="false">IF($B82="","",ROW()-5)</f>
        <v/>
      </c>
      <c r="B82" s="23"/>
      <c r="C82" s="23"/>
      <c r="D82" s="23"/>
      <c r="E82" s="23"/>
      <c r="F82" s="16"/>
      <c r="G82" s="9" t="str">
        <f aca="false">IF($F82="","",LOOKUP($F82,Referensi!$A$6:$A$10,Referensi!$B$6:$B$10))</f>
        <v/>
      </c>
      <c r="H82" s="16"/>
      <c r="I82" s="16"/>
      <c r="J82" s="24"/>
      <c r="K82" s="16"/>
      <c r="L82" s="25"/>
      <c r="M82" s="11" t="str">
        <f aca="false">IF(OR($J82="",$L82=""),"",$J82*$L82)</f>
        <v/>
      </c>
      <c r="N82" s="11" t="str">
        <f aca="false">IF($J82="","",$J82-$M82)</f>
        <v/>
      </c>
      <c r="O82" s="11" t="str">
        <f aca="false">IFERROR(IF(OR($J82="",$F82=""),"",$J82/$F82*1000),"")</f>
        <v/>
      </c>
      <c r="P82" s="11" t="str">
        <f aca="false">IFERROR(IF(OR($J82="",$K82=""),"",$J82/$K82),"")</f>
        <v/>
      </c>
      <c r="Q82" s="11" t="str">
        <f aca="false">IFERROR(IF(OR($J82="",$H82="",$I82=""),"",$J82/($H82*$I82)*1000),"")</f>
        <v/>
      </c>
      <c r="R82" s="23"/>
      <c r="S82" s="23"/>
      <c r="T82" s="23"/>
      <c r="U82" s="23"/>
      <c r="V82" s="26" t="str">
        <f aca="false">IF($J82="","",RANK($J82,$J$6:$J$105,0)+COUNTIF($J$6:$J82,$J82)-1)</f>
        <v/>
      </c>
      <c r="W82" s="26" t="str">
        <f aca="false">IF($O82="","",RANK($O82,$O$6:$O$105,0)+COUNTIF($O$6:$O82,$O82)-1)</f>
        <v/>
      </c>
    </row>
    <row r="83" customFormat="false" ht="15" hidden="false" customHeight="false" outlineLevel="0" collapsed="false">
      <c r="A83" s="9" t="str">
        <f aca="false">IF($B83="","",ROW()-5)</f>
        <v/>
      </c>
      <c r="B83" s="23"/>
      <c r="C83" s="23"/>
      <c r="D83" s="23"/>
      <c r="E83" s="23"/>
      <c r="F83" s="16"/>
      <c r="G83" s="9" t="str">
        <f aca="false">IF($F83="","",LOOKUP($F83,Referensi!$A$6:$A$10,Referensi!$B$6:$B$10))</f>
        <v/>
      </c>
      <c r="H83" s="16"/>
      <c r="I83" s="16"/>
      <c r="J83" s="24"/>
      <c r="K83" s="16"/>
      <c r="L83" s="25"/>
      <c r="M83" s="11" t="str">
        <f aca="false">IF(OR($J83="",$L83=""),"",$J83*$L83)</f>
        <v/>
      </c>
      <c r="N83" s="11" t="str">
        <f aca="false">IF($J83="","",$J83-$M83)</f>
        <v/>
      </c>
      <c r="O83" s="11" t="str">
        <f aca="false">IFERROR(IF(OR($J83="",$F83=""),"",$J83/$F83*1000),"")</f>
        <v/>
      </c>
      <c r="P83" s="11" t="str">
        <f aca="false">IFERROR(IF(OR($J83="",$K83=""),"",$J83/$K83),"")</f>
        <v/>
      </c>
      <c r="Q83" s="11" t="str">
        <f aca="false">IFERROR(IF(OR($J83="",$H83="",$I83=""),"",$J83/($H83*$I83)*1000),"")</f>
        <v/>
      </c>
      <c r="R83" s="23"/>
      <c r="S83" s="23"/>
      <c r="T83" s="23"/>
      <c r="U83" s="23"/>
      <c r="V83" s="26" t="str">
        <f aca="false">IF($J83="","",RANK($J83,$J$6:$J$105,0)+COUNTIF($J$6:$J83,$J83)-1)</f>
        <v/>
      </c>
      <c r="W83" s="26" t="str">
        <f aca="false">IF($O83="","",RANK($O83,$O$6:$O$105,0)+COUNTIF($O$6:$O83,$O83)-1)</f>
        <v/>
      </c>
    </row>
    <row r="84" customFormat="false" ht="15" hidden="false" customHeight="false" outlineLevel="0" collapsed="false">
      <c r="A84" s="9" t="str">
        <f aca="false">IF($B84="","",ROW()-5)</f>
        <v/>
      </c>
      <c r="B84" s="23"/>
      <c r="C84" s="23"/>
      <c r="D84" s="23"/>
      <c r="E84" s="23"/>
      <c r="F84" s="16"/>
      <c r="G84" s="9" t="str">
        <f aca="false">IF($F84="","",LOOKUP($F84,Referensi!$A$6:$A$10,Referensi!$B$6:$B$10))</f>
        <v/>
      </c>
      <c r="H84" s="16"/>
      <c r="I84" s="16"/>
      <c r="J84" s="24"/>
      <c r="K84" s="16"/>
      <c r="L84" s="25"/>
      <c r="M84" s="11" t="str">
        <f aca="false">IF(OR($J84="",$L84=""),"",$J84*$L84)</f>
        <v/>
      </c>
      <c r="N84" s="11" t="str">
        <f aca="false">IF($J84="","",$J84-$M84)</f>
        <v/>
      </c>
      <c r="O84" s="11" t="str">
        <f aca="false">IFERROR(IF(OR($J84="",$F84=""),"",$J84/$F84*1000),"")</f>
        <v/>
      </c>
      <c r="P84" s="11" t="str">
        <f aca="false">IFERROR(IF(OR($J84="",$K84=""),"",$J84/$K84),"")</f>
        <v/>
      </c>
      <c r="Q84" s="11" t="str">
        <f aca="false">IFERROR(IF(OR($J84="",$H84="",$I84=""),"",$J84/($H84*$I84)*1000),"")</f>
        <v/>
      </c>
      <c r="R84" s="23"/>
      <c r="S84" s="23"/>
      <c r="T84" s="23"/>
      <c r="U84" s="23"/>
      <c r="V84" s="26" t="str">
        <f aca="false">IF($J84="","",RANK($J84,$J$6:$J$105,0)+COUNTIF($J$6:$J84,$J84)-1)</f>
        <v/>
      </c>
      <c r="W84" s="26" t="str">
        <f aca="false">IF($O84="","",RANK($O84,$O$6:$O$105,0)+COUNTIF($O$6:$O84,$O84)-1)</f>
        <v/>
      </c>
    </row>
    <row r="85" customFormat="false" ht="15" hidden="false" customHeight="false" outlineLevel="0" collapsed="false">
      <c r="A85" s="9" t="str">
        <f aca="false">IF($B85="","",ROW()-5)</f>
        <v/>
      </c>
      <c r="B85" s="23"/>
      <c r="C85" s="23"/>
      <c r="D85" s="23"/>
      <c r="E85" s="23"/>
      <c r="F85" s="16"/>
      <c r="G85" s="9" t="str">
        <f aca="false">IF($F85="","",LOOKUP($F85,Referensi!$A$6:$A$10,Referensi!$B$6:$B$10))</f>
        <v/>
      </c>
      <c r="H85" s="16"/>
      <c r="I85" s="16"/>
      <c r="J85" s="24"/>
      <c r="K85" s="16"/>
      <c r="L85" s="25"/>
      <c r="M85" s="11" t="str">
        <f aca="false">IF(OR($J85="",$L85=""),"",$J85*$L85)</f>
        <v/>
      </c>
      <c r="N85" s="11" t="str">
        <f aca="false">IF($J85="","",$J85-$M85)</f>
        <v/>
      </c>
      <c r="O85" s="11" t="str">
        <f aca="false">IFERROR(IF(OR($J85="",$F85=""),"",$J85/$F85*1000),"")</f>
        <v/>
      </c>
      <c r="P85" s="11" t="str">
        <f aca="false">IFERROR(IF(OR($J85="",$K85=""),"",$J85/$K85),"")</f>
        <v/>
      </c>
      <c r="Q85" s="11" t="str">
        <f aca="false">IFERROR(IF(OR($J85="",$H85="",$I85=""),"",$J85/($H85*$I85)*1000),"")</f>
        <v/>
      </c>
      <c r="R85" s="23"/>
      <c r="S85" s="23"/>
      <c r="T85" s="23"/>
      <c r="U85" s="23"/>
      <c r="V85" s="26" t="str">
        <f aca="false">IF($J85="","",RANK($J85,$J$6:$J$105,0)+COUNTIF($J$6:$J85,$J85)-1)</f>
        <v/>
      </c>
      <c r="W85" s="26" t="str">
        <f aca="false">IF($O85="","",RANK($O85,$O$6:$O$105,0)+COUNTIF($O$6:$O85,$O85)-1)</f>
        <v/>
      </c>
    </row>
    <row r="86" customFormat="false" ht="15" hidden="false" customHeight="false" outlineLevel="0" collapsed="false">
      <c r="A86" s="9" t="str">
        <f aca="false">IF($B86="","",ROW()-5)</f>
        <v/>
      </c>
      <c r="B86" s="23"/>
      <c r="C86" s="23"/>
      <c r="D86" s="23"/>
      <c r="E86" s="23"/>
      <c r="F86" s="16"/>
      <c r="G86" s="9" t="str">
        <f aca="false">IF($F86="","",LOOKUP($F86,Referensi!$A$6:$A$10,Referensi!$B$6:$B$10))</f>
        <v/>
      </c>
      <c r="H86" s="16"/>
      <c r="I86" s="16"/>
      <c r="J86" s="24"/>
      <c r="K86" s="16"/>
      <c r="L86" s="25"/>
      <c r="M86" s="11" t="str">
        <f aca="false">IF(OR($J86="",$L86=""),"",$J86*$L86)</f>
        <v/>
      </c>
      <c r="N86" s="11" t="str">
        <f aca="false">IF($J86="","",$J86-$M86)</f>
        <v/>
      </c>
      <c r="O86" s="11" t="str">
        <f aca="false">IFERROR(IF(OR($J86="",$F86=""),"",$J86/$F86*1000),"")</f>
        <v/>
      </c>
      <c r="P86" s="11" t="str">
        <f aca="false">IFERROR(IF(OR($J86="",$K86=""),"",$J86/$K86),"")</f>
        <v/>
      </c>
      <c r="Q86" s="11" t="str">
        <f aca="false">IFERROR(IF(OR($J86="",$H86="",$I86=""),"",$J86/($H86*$I86)*1000),"")</f>
        <v/>
      </c>
      <c r="R86" s="23"/>
      <c r="S86" s="23"/>
      <c r="T86" s="23"/>
      <c r="U86" s="23"/>
      <c r="V86" s="26" t="str">
        <f aca="false">IF($J86="","",RANK($J86,$J$6:$J$105,0)+COUNTIF($J$6:$J86,$J86)-1)</f>
        <v/>
      </c>
      <c r="W86" s="26" t="str">
        <f aca="false">IF($O86="","",RANK($O86,$O$6:$O$105,0)+COUNTIF($O$6:$O86,$O86)-1)</f>
        <v/>
      </c>
    </row>
    <row r="87" customFormat="false" ht="15" hidden="false" customHeight="false" outlineLevel="0" collapsed="false">
      <c r="A87" s="9" t="str">
        <f aca="false">IF($B87="","",ROW()-5)</f>
        <v/>
      </c>
      <c r="B87" s="23"/>
      <c r="C87" s="23"/>
      <c r="D87" s="23"/>
      <c r="E87" s="23"/>
      <c r="F87" s="16"/>
      <c r="G87" s="9" t="str">
        <f aca="false">IF($F87="","",LOOKUP($F87,Referensi!$A$6:$A$10,Referensi!$B$6:$B$10))</f>
        <v/>
      </c>
      <c r="H87" s="16"/>
      <c r="I87" s="16"/>
      <c r="J87" s="24"/>
      <c r="K87" s="16"/>
      <c r="L87" s="25"/>
      <c r="M87" s="11" t="str">
        <f aca="false">IF(OR($J87="",$L87=""),"",$J87*$L87)</f>
        <v/>
      </c>
      <c r="N87" s="11" t="str">
        <f aca="false">IF($J87="","",$J87-$M87)</f>
        <v/>
      </c>
      <c r="O87" s="11" t="str">
        <f aca="false">IFERROR(IF(OR($J87="",$F87=""),"",$J87/$F87*1000),"")</f>
        <v/>
      </c>
      <c r="P87" s="11" t="str">
        <f aca="false">IFERROR(IF(OR($J87="",$K87=""),"",$J87/$K87),"")</f>
        <v/>
      </c>
      <c r="Q87" s="11" t="str">
        <f aca="false">IFERROR(IF(OR($J87="",$H87="",$I87=""),"",$J87/($H87*$I87)*1000),"")</f>
        <v/>
      </c>
      <c r="R87" s="23"/>
      <c r="S87" s="23"/>
      <c r="T87" s="23"/>
      <c r="U87" s="23"/>
      <c r="V87" s="26" t="str">
        <f aca="false">IF($J87="","",RANK($J87,$J$6:$J$105,0)+COUNTIF($J$6:$J87,$J87)-1)</f>
        <v/>
      </c>
      <c r="W87" s="26" t="str">
        <f aca="false">IF($O87="","",RANK($O87,$O$6:$O$105,0)+COUNTIF($O$6:$O87,$O87)-1)</f>
        <v/>
      </c>
    </row>
    <row r="88" customFormat="false" ht="15" hidden="false" customHeight="false" outlineLevel="0" collapsed="false">
      <c r="A88" s="9" t="str">
        <f aca="false">IF($B88="","",ROW()-5)</f>
        <v/>
      </c>
      <c r="B88" s="23"/>
      <c r="C88" s="23"/>
      <c r="D88" s="23"/>
      <c r="E88" s="23"/>
      <c r="F88" s="16"/>
      <c r="G88" s="9" t="str">
        <f aca="false">IF($F88="","",LOOKUP($F88,Referensi!$A$6:$A$10,Referensi!$B$6:$B$10))</f>
        <v/>
      </c>
      <c r="H88" s="16"/>
      <c r="I88" s="16"/>
      <c r="J88" s="24"/>
      <c r="K88" s="16"/>
      <c r="L88" s="25"/>
      <c r="M88" s="11" t="str">
        <f aca="false">IF(OR($J88="",$L88=""),"",$J88*$L88)</f>
        <v/>
      </c>
      <c r="N88" s="11" t="str">
        <f aca="false">IF($J88="","",$J88-$M88)</f>
        <v/>
      </c>
      <c r="O88" s="11" t="str">
        <f aca="false">IFERROR(IF(OR($J88="",$F88=""),"",$J88/$F88*1000),"")</f>
        <v/>
      </c>
      <c r="P88" s="11" t="str">
        <f aca="false">IFERROR(IF(OR($J88="",$K88=""),"",$J88/$K88),"")</f>
        <v/>
      </c>
      <c r="Q88" s="11" t="str">
        <f aca="false">IFERROR(IF(OR($J88="",$H88="",$I88=""),"",$J88/($H88*$I88)*1000),"")</f>
        <v/>
      </c>
      <c r="R88" s="23"/>
      <c r="S88" s="23"/>
      <c r="T88" s="23"/>
      <c r="U88" s="23"/>
      <c r="V88" s="26" t="str">
        <f aca="false">IF($J88="","",RANK($J88,$J$6:$J$105,0)+COUNTIF($J$6:$J88,$J88)-1)</f>
        <v/>
      </c>
      <c r="W88" s="26" t="str">
        <f aca="false">IF($O88="","",RANK($O88,$O$6:$O$105,0)+COUNTIF($O$6:$O88,$O88)-1)</f>
        <v/>
      </c>
    </row>
    <row r="89" customFormat="false" ht="15" hidden="false" customHeight="false" outlineLevel="0" collapsed="false">
      <c r="A89" s="9" t="str">
        <f aca="false">IF($B89="","",ROW()-5)</f>
        <v/>
      </c>
      <c r="B89" s="23"/>
      <c r="C89" s="23"/>
      <c r="D89" s="23"/>
      <c r="E89" s="23"/>
      <c r="F89" s="16"/>
      <c r="G89" s="9" t="str">
        <f aca="false">IF($F89="","",LOOKUP($F89,Referensi!$A$6:$A$10,Referensi!$B$6:$B$10))</f>
        <v/>
      </c>
      <c r="H89" s="16"/>
      <c r="I89" s="16"/>
      <c r="J89" s="24"/>
      <c r="K89" s="16"/>
      <c r="L89" s="25"/>
      <c r="M89" s="11" t="str">
        <f aca="false">IF(OR($J89="",$L89=""),"",$J89*$L89)</f>
        <v/>
      </c>
      <c r="N89" s="11" t="str">
        <f aca="false">IF($J89="","",$J89-$M89)</f>
        <v/>
      </c>
      <c r="O89" s="11" t="str">
        <f aca="false">IFERROR(IF(OR($J89="",$F89=""),"",$J89/$F89*1000),"")</f>
        <v/>
      </c>
      <c r="P89" s="11" t="str">
        <f aca="false">IFERROR(IF(OR($J89="",$K89=""),"",$J89/$K89),"")</f>
        <v/>
      </c>
      <c r="Q89" s="11" t="str">
        <f aca="false">IFERROR(IF(OR($J89="",$H89="",$I89=""),"",$J89/($H89*$I89)*1000),"")</f>
        <v/>
      </c>
      <c r="R89" s="23"/>
      <c r="S89" s="23"/>
      <c r="T89" s="23"/>
      <c r="U89" s="23"/>
      <c r="V89" s="26" t="str">
        <f aca="false">IF($J89="","",RANK($J89,$J$6:$J$105,0)+COUNTIF($J$6:$J89,$J89)-1)</f>
        <v/>
      </c>
      <c r="W89" s="26" t="str">
        <f aca="false">IF($O89="","",RANK($O89,$O$6:$O$105,0)+COUNTIF($O$6:$O89,$O89)-1)</f>
        <v/>
      </c>
    </row>
    <row r="90" customFormat="false" ht="15" hidden="false" customHeight="false" outlineLevel="0" collapsed="false">
      <c r="A90" s="9" t="str">
        <f aca="false">IF($B90="","",ROW()-5)</f>
        <v/>
      </c>
      <c r="B90" s="23"/>
      <c r="C90" s="23"/>
      <c r="D90" s="23"/>
      <c r="E90" s="23"/>
      <c r="F90" s="16"/>
      <c r="G90" s="9" t="str">
        <f aca="false">IF($F90="","",LOOKUP($F90,Referensi!$A$6:$A$10,Referensi!$B$6:$B$10))</f>
        <v/>
      </c>
      <c r="H90" s="16"/>
      <c r="I90" s="16"/>
      <c r="J90" s="24"/>
      <c r="K90" s="16"/>
      <c r="L90" s="25"/>
      <c r="M90" s="11" t="str">
        <f aca="false">IF(OR($J90="",$L90=""),"",$J90*$L90)</f>
        <v/>
      </c>
      <c r="N90" s="11" t="str">
        <f aca="false">IF($J90="","",$J90-$M90)</f>
        <v/>
      </c>
      <c r="O90" s="11" t="str">
        <f aca="false">IFERROR(IF(OR($J90="",$F90=""),"",$J90/$F90*1000),"")</f>
        <v/>
      </c>
      <c r="P90" s="11" t="str">
        <f aca="false">IFERROR(IF(OR($J90="",$K90=""),"",$J90/$K90),"")</f>
        <v/>
      </c>
      <c r="Q90" s="11" t="str">
        <f aca="false">IFERROR(IF(OR($J90="",$H90="",$I90=""),"",$J90/($H90*$I90)*1000),"")</f>
        <v/>
      </c>
      <c r="R90" s="23"/>
      <c r="S90" s="23"/>
      <c r="T90" s="23"/>
      <c r="U90" s="23"/>
      <c r="V90" s="26" t="str">
        <f aca="false">IF($J90="","",RANK($J90,$J$6:$J$105,0)+COUNTIF($J$6:$J90,$J90)-1)</f>
        <v/>
      </c>
      <c r="W90" s="26" t="str">
        <f aca="false">IF($O90="","",RANK($O90,$O$6:$O$105,0)+COUNTIF($O$6:$O90,$O90)-1)</f>
        <v/>
      </c>
    </row>
    <row r="91" customFormat="false" ht="15" hidden="false" customHeight="false" outlineLevel="0" collapsed="false">
      <c r="A91" s="9" t="str">
        <f aca="false">IF($B91="","",ROW()-5)</f>
        <v/>
      </c>
      <c r="B91" s="23"/>
      <c r="C91" s="23"/>
      <c r="D91" s="23"/>
      <c r="E91" s="23"/>
      <c r="F91" s="16"/>
      <c r="G91" s="9" t="str">
        <f aca="false">IF($F91="","",LOOKUP($F91,Referensi!$A$6:$A$10,Referensi!$B$6:$B$10))</f>
        <v/>
      </c>
      <c r="H91" s="16"/>
      <c r="I91" s="16"/>
      <c r="J91" s="24"/>
      <c r="K91" s="16"/>
      <c r="L91" s="25"/>
      <c r="M91" s="11" t="str">
        <f aca="false">IF(OR($J91="",$L91=""),"",$J91*$L91)</f>
        <v/>
      </c>
      <c r="N91" s="11" t="str">
        <f aca="false">IF($J91="","",$J91-$M91)</f>
        <v/>
      </c>
      <c r="O91" s="11" t="str">
        <f aca="false">IFERROR(IF(OR($J91="",$F91=""),"",$J91/$F91*1000),"")</f>
        <v/>
      </c>
      <c r="P91" s="11" t="str">
        <f aca="false">IFERROR(IF(OR($J91="",$K91=""),"",$J91/$K91),"")</f>
        <v/>
      </c>
      <c r="Q91" s="11" t="str">
        <f aca="false">IFERROR(IF(OR($J91="",$H91="",$I91=""),"",$J91/($H91*$I91)*1000),"")</f>
        <v/>
      </c>
      <c r="R91" s="23"/>
      <c r="S91" s="23"/>
      <c r="T91" s="23"/>
      <c r="U91" s="23"/>
      <c r="V91" s="26" t="str">
        <f aca="false">IF($J91="","",RANK($J91,$J$6:$J$105,0)+COUNTIF($J$6:$J91,$J91)-1)</f>
        <v/>
      </c>
      <c r="W91" s="26" t="str">
        <f aca="false">IF($O91="","",RANK($O91,$O$6:$O$105,0)+COUNTIF($O$6:$O91,$O91)-1)</f>
        <v/>
      </c>
    </row>
    <row r="92" customFormat="false" ht="15" hidden="false" customHeight="false" outlineLevel="0" collapsed="false">
      <c r="A92" s="9" t="str">
        <f aca="false">IF($B92="","",ROW()-5)</f>
        <v/>
      </c>
      <c r="B92" s="23"/>
      <c r="C92" s="23"/>
      <c r="D92" s="23"/>
      <c r="E92" s="23"/>
      <c r="F92" s="16"/>
      <c r="G92" s="9" t="str">
        <f aca="false">IF($F92="","",LOOKUP($F92,Referensi!$A$6:$A$10,Referensi!$B$6:$B$10))</f>
        <v/>
      </c>
      <c r="H92" s="16"/>
      <c r="I92" s="16"/>
      <c r="J92" s="24"/>
      <c r="K92" s="16"/>
      <c r="L92" s="25"/>
      <c r="M92" s="11" t="str">
        <f aca="false">IF(OR($J92="",$L92=""),"",$J92*$L92)</f>
        <v/>
      </c>
      <c r="N92" s="11" t="str">
        <f aca="false">IF($J92="","",$J92-$M92)</f>
        <v/>
      </c>
      <c r="O92" s="11" t="str">
        <f aca="false">IFERROR(IF(OR($J92="",$F92=""),"",$J92/$F92*1000),"")</f>
        <v/>
      </c>
      <c r="P92" s="11" t="str">
        <f aca="false">IFERROR(IF(OR($J92="",$K92=""),"",$J92/$K92),"")</f>
        <v/>
      </c>
      <c r="Q92" s="11" t="str">
        <f aca="false">IFERROR(IF(OR($J92="",$H92="",$I92=""),"",$J92/($H92*$I92)*1000),"")</f>
        <v/>
      </c>
      <c r="R92" s="23"/>
      <c r="S92" s="23"/>
      <c r="T92" s="23"/>
      <c r="U92" s="23"/>
      <c r="V92" s="26" t="str">
        <f aca="false">IF($J92="","",RANK($J92,$J$6:$J$105,0)+COUNTIF($J$6:$J92,$J92)-1)</f>
        <v/>
      </c>
      <c r="W92" s="26" t="str">
        <f aca="false">IF($O92="","",RANK($O92,$O$6:$O$105,0)+COUNTIF($O$6:$O92,$O92)-1)</f>
        <v/>
      </c>
    </row>
    <row r="93" customFormat="false" ht="15" hidden="false" customHeight="false" outlineLevel="0" collapsed="false">
      <c r="A93" s="9" t="str">
        <f aca="false">IF($B93="","",ROW()-5)</f>
        <v/>
      </c>
      <c r="B93" s="23"/>
      <c r="C93" s="23"/>
      <c r="D93" s="23"/>
      <c r="E93" s="23"/>
      <c r="F93" s="16"/>
      <c r="G93" s="9" t="str">
        <f aca="false">IF($F93="","",LOOKUP($F93,Referensi!$A$6:$A$10,Referensi!$B$6:$B$10))</f>
        <v/>
      </c>
      <c r="H93" s="16"/>
      <c r="I93" s="16"/>
      <c r="J93" s="24"/>
      <c r="K93" s="16"/>
      <c r="L93" s="25"/>
      <c r="M93" s="11" t="str">
        <f aca="false">IF(OR($J93="",$L93=""),"",$J93*$L93)</f>
        <v/>
      </c>
      <c r="N93" s="11" t="str">
        <f aca="false">IF($J93="","",$J93-$M93)</f>
        <v/>
      </c>
      <c r="O93" s="11" t="str">
        <f aca="false">IFERROR(IF(OR($J93="",$F93=""),"",$J93/$F93*1000),"")</f>
        <v/>
      </c>
      <c r="P93" s="11" t="str">
        <f aca="false">IFERROR(IF(OR($J93="",$K93=""),"",$J93/$K93),"")</f>
        <v/>
      </c>
      <c r="Q93" s="11" t="str">
        <f aca="false">IFERROR(IF(OR($J93="",$H93="",$I93=""),"",$J93/($H93*$I93)*1000),"")</f>
        <v/>
      </c>
      <c r="R93" s="23"/>
      <c r="S93" s="23"/>
      <c r="T93" s="23"/>
      <c r="U93" s="23"/>
      <c r="V93" s="26" t="str">
        <f aca="false">IF($J93="","",RANK($J93,$J$6:$J$105,0)+COUNTIF($J$6:$J93,$J93)-1)</f>
        <v/>
      </c>
      <c r="W93" s="26" t="str">
        <f aca="false">IF($O93="","",RANK($O93,$O$6:$O$105,0)+COUNTIF($O$6:$O93,$O93)-1)</f>
        <v/>
      </c>
    </row>
    <row r="94" customFormat="false" ht="15" hidden="false" customHeight="false" outlineLevel="0" collapsed="false">
      <c r="A94" s="9" t="str">
        <f aca="false">IF($B94="","",ROW()-5)</f>
        <v/>
      </c>
      <c r="B94" s="23"/>
      <c r="C94" s="23"/>
      <c r="D94" s="23"/>
      <c r="E94" s="23"/>
      <c r="F94" s="16"/>
      <c r="G94" s="9" t="str">
        <f aca="false">IF($F94="","",LOOKUP($F94,Referensi!$A$6:$A$10,Referensi!$B$6:$B$10))</f>
        <v/>
      </c>
      <c r="H94" s="16"/>
      <c r="I94" s="16"/>
      <c r="J94" s="24"/>
      <c r="K94" s="16"/>
      <c r="L94" s="25"/>
      <c r="M94" s="11" t="str">
        <f aca="false">IF(OR($J94="",$L94=""),"",$J94*$L94)</f>
        <v/>
      </c>
      <c r="N94" s="11" t="str">
        <f aca="false">IF($J94="","",$J94-$M94)</f>
        <v/>
      </c>
      <c r="O94" s="11" t="str">
        <f aca="false">IFERROR(IF(OR($J94="",$F94=""),"",$J94/$F94*1000),"")</f>
        <v/>
      </c>
      <c r="P94" s="11" t="str">
        <f aca="false">IFERROR(IF(OR($J94="",$K94=""),"",$J94/$K94),"")</f>
        <v/>
      </c>
      <c r="Q94" s="11" t="str">
        <f aca="false">IFERROR(IF(OR($J94="",$H94="",$I94=""),"",$J94/($H94*$I94)*1000),"")</f>
        <v/>
      </c>
      <c r="R94" s="23"/>
      <c r="S94" s="23"/>
      <c r="T94" s="23"/>
      <c r="U94" s="23"/>
      <c r="V94" s="26" t="str">
        <f aca="false">IF($J94="","",RANK($J94,$J$6:$J$105,0)+COUNTIF($J$6:$J94,$J94)-1)</f>
        <v/>
      </c>
      <c r="W94" s="26" t="str">
        <f aca="false">IF($O94="","",RANK($O94,$O$6:$O$105,0)+COUNTIF($O$6:$O94,$O94)-1)</f>
        <v/>
      </c>
    </row>
    <row r="95" customFormat="false" ht="15" hidden="false" customHeight="false" outlineLevel="0" collapsed="false">
      <c r="A95" s="9" t="str">
        <f aca="false">IF($B95="","",ROW()-5)</f>
        <v/>
      </c>
      <c r="B95" s="23"/>
      <c r="C95" s="23"/>
      <c r="D95" s="23"/>
      <c r="E95" s="23"/>
      <c r="F95" s="16"/>
      <c r="G95" s="9" t="str">
        <f aca="false">IF($F95="","",LOOKUP($F95,Referensi!$A$6:$A$10,Referensi!$B$6:$B$10))</f>
        <v/>
      </c>
      <c r="H95" s="16"/>
      <c r="I95" s="16"/>
      <c r="J95" s="24"/>
      <c r="K95" s="16"/>
      <c r="L95" s="25"/>
      <c r="M95" s="11" t="str">
        <f aca="false">IF(OR($J95="",$L95=""),"",$J95*$L95)</f>
        <v/>
      </c>
      <c r="N95" s="11" t="str">
        <f aca="false">IF($J95="","",$J95-$M95)</f>
        <v/>
      </c>
      <c r="O95" s="11" t="str">
        <f aca="false">IFERROR(IF(OR($J95="",$F95=""),"",$J95/$F95*1000),"")</f>
        <v/>
      </c>
      <c r="P95" s="11" t="str">
        <f aca="false">IFERROR(IF(OR($J95="",$K95=""),"",$J95/$K95),"")</f>
        <v/>
      </c>
      <c r="Q95" s="11" t="str">
        <f aca="false">IFERROR(IF(OR($J95="",$H95="",$I95=""),"",$J95/($H95*$I95)*1000),"")</f>
        <v/>
      </c>
      <c r="R95" s="23"/>
      <c r="S95" s="23"/>
      <c r="T95" s="23"/>
      <c r="U95" s="23"/>
      <c r="V95" s="26" t="str">
        <f aca="false">IF($J95="","",RANK($J95,$J$6:$J$105,0)+COUNTIF($J$6:$J95,$J95)-1)</f>
        <v/>
      </c>
      <c r="W95" s="26" t="str">
        <f aca="false">IF($O95="","",RANK($O95,$O$6:$O$105,0)+COUNTIF($O$6:$O95,$O95)-1)</f>
        <v/>
      </c>
    </row>
    <row r="96" customFormat="false" ht="15" hidden="false" customHeight="false" outlineLevel="0" collapsed="false">
      <c r="A96" s="9" t="str">
        <f aca="false">IF($B96="","",ROW()-5)</f>
        <v/>
      </c>
      <c r="B96" s="23"/>
      <c r="C96" s="23"/>
      <c r="D96" s="23"/>
      <c r="E96" s="23"/>
      <c r="F96" s="16"/>
      <c r="G96" s="9" t="str">
        <f aca="false">IF($F96="","",LOOKUP($F96,Referensi!$A$6:$A$10,Referensi!$B$6:$B$10))</f>
        <v/>
      </c>
      <c r="H96" s="16"/>
      <c r="I96" s="16"/>
      <c r="J96" s="24"/>
      <c r="K96" s="16"/>
      <c r="L96" s="25"/>
      <c r="M96" s="11" t="str">
        <f aca="false">IF(OR($J96="",$L96=""),"",$J96*$L96)</f>
        <v/>
      </c>
      <c r="N96" s="11" t="str">
        <f aca="false">IF($J96="","",$J96-$M96)</f>
        <v/>
      </c>
      <c r="O96" s="11" t="str">
        <f aca="false">IFERROR(IF(OR($J96="",$F96=""),"",$J96/$F96*1000),"")</f>
        <v/>
      </c>
      <c r="P96" s="11" t="str">
        <f aca="false">IFERROR(IF(OR($J96="",$K96=""),"",$J96/$K96),"")</f>
        <v/>
      </c>
      <c r="Q96" s="11" t="str">
        <f aca="false">IFERROR(IF(OR($J96="",$H96="",$I96=""),"",$J96/($H96*$I96)*1000),"")</f>
        <v/>
      </c>
      <c r="R96" s="23"/>
      <c r="S96" s="23"/>
      <c r="T96" s="23"/>
      <c r="U96" s="23"/>
      <c r="V96" s="26" t="str">
        <f aca="false">IF($J96="","",RANK($J96,$J$6:$J$105,0)+COUNTIF($J$6:$J96,$J96)-1)</f>
        <v/>
      </c>
      <c r="W96" s="26" t="str">
        <f aca="false">IF($O96="","",RANK($O96,$O$6:$O$105,0)+COUNTIF($O$6:$O96,$O96)-1)</f>
        <v/>
      </c>
    </row>
    <row r="97" customFormat="false" ht="15" hidden="false" customHeight="false" outlineLevel="0" collapsed="false">
      <c r="A97" s="9" t="str">
        <f aca="false">IF($B97="","",ROW()-5)</f>
        <v/>
      </c>
      <c r="B97" s="23"/>
      <c r="C97" s="23"/>
      <c r="D97" s="23"/>
      <c r="E97" s="23"/>
      <c r="F97" s="16"/>
      <c r="G97" s="9" t="str">
        <f aca="false">IF($F97="","",LOOKUP($F97,Referensi!$A$6:$A$10,Referensi!$B$6:$B$10))</f>
        <v/>
      </c>
      <c r="H97" s="16"/>
      <c r="I97" s="16"/>
      <c r="J97" s="24"/>
      <c r="K97" s="16"/>
      <c r="L97" s="25"/>
      <c r="M97" s="11" t="str">
        <f aca="false">IF(OR($J97="",$L97=""),"",$J97*$L97)</f>
        <v/>
      </c>
      <c r="N97" s="11" t="str">
        <f aca="false">IF($J97="","",$J97-$M97)</f>
        <v/>
      </c>
      <c r="O97" s="11" t="str">
        <f aca="false">IFERROR(IF(OR($J97="",$F97=""),"",$J97/$F97*1000),"")</f>
        <v/>
      </c>
      <c r="P97" s="11" t="str">
        <f aca="false">IFERROR(IF(OR($J97="",$K97=""),"",$J97/$K97),"")</f>
        <v/>
      </c>
      <c r="Q97" s="11" t="str">
        <f aca="false">IFERROR(IF(OR($J97="",$H97="",$I97=""),"",$J97/($H97*$I97)*1000),"")</f>
        <v/>
      </c>
      <c r="R97" s="23"/>
      <c r="S97" s="23"/>
      <c r="T97" s="23"/>
      <c r="U97" s="23"/>
      <c r="V97" s="26" t="str">
        <f aca="false">IF($J97="","",RANK($J97,$J$6:$J$105,0)+COUNTIF($J$6:$J97,$J97)-1)</f>
        <v/>
      </c>
      <c r="W97" s="26" t="str">
        <f aca="false">IF($O97="","",RANK($O97,$O$6:$O$105,0)+COUNTIF($O$6:$O97,$O97)-1)</f>
        <v/>
      </c>
    </row>
    <row r="98" customFormat="false" ht="15" hidden="false" customHeight="false" outlineLevel="0" collapsed="false">
      <c r="A98" s="9" t="str">
        <f aca="false">IF($B98="","",ROW()-5)</f>
        <v/>
      </c>
      <c r="B98" s="23"/>
      <c r="C98" s="23"/>
      <c r="D98" s="23"/>
      <c r="E98" s="23"/>
      <c r="F98" s="16"/>
      <c r="G98" s="9" t="str">
        <f aca="false">IF($F98="","",LOOKUP($F98,Referensi!$A$6:$A$10,Referensi!$B$6:$B$10))</f>
        <v/>
      </c>
      <c r="H98" s="16"/>
      <c r="I98" s="16"/>
      <c r="J98" s="24"/>
      <c r="K98" s="16"/>
      <c r="L98" s="25"/>
      <c r="M98" s="11" t="str">
        <f aca="false">IF(OR($J98="",$L98=""),"",$J98*$L98)</f>
        <v/>
      </c>
      <c r="N98" s="11" t="str">
        <f aca="false">IF($J98="","",$J98-$M98)</f>
        <v/>
      </c>
      <c r="O98" s="11" t="str">
        <f aca="false">IFERROR(IF(OR($J98="",$F98=""),"",$J98/$F98*1000),"")</f>
        <v/>
      </c>
      <c r="P98" s="11" t="str">
        <f aca="false">IFERROR(IF(OR($J98="",$K98=""),"",$J98/$K98),"")</f>
        <v/>
      </c>
      <c r="Q98" s="11" t="str">
        <f aca="false">IFERROR(IF(OR($J98="",$H98="",$I98=""),"",$J98/($H98*$I98)*1000),"")</f>
        <v/>
      </c>
      <c r="R98" s="23"/>
      <c r="S98" s="23"/>
      <c r="T98" s="23"/>
      <c r="U98" s="23"/>
      <c r="V98" s="26" t="str">
        <f aca="false">IF($J98="","",RANK($J98,$J$6:$J$105,0)+COUNTIF($J$6:$J98,$J98)-1)</f>
        <v/>
      </c>
      <c r="W98" s="26" t="str">
        <f aca="false">IF($O98="","",RANK($O98,$O$6:$O$105,0)+COUNTIF($O$6:$O98,$O98)-1)</f>
        <v/>
      </c>
    </row>
    <row r="99" customFormat="false" ht="15" hidden="false" customHeight="false" outlineLevel="0" collapsed="false">
      <c r="A99" s="9" t="str">
        <f aca="false">IF($B99="","",ROW()-5)</f>
        <v/>
      </c>
      <c r="B99" s="23"/>
      <c r="C99" s="23"/>
      <c r="D99" s="23"/>
      <c r="E99" s="23"/>
      <c r="F99" s="16"/>
      <c r="G99" s="9" t="str">
        <f aca="false">IF($F99="","",LOOKUP($F99,Referensi!$A$6:$A$10,Referensi!$B$6:$B$10))</f>
        <v/>
      </c>
      <c r="H99" s="16"/>
      <c r="I99" s="16"/>
      <c r="J99" s="24"/>
      <c r="K99" s="16"/>
      <c r="L99" s="25"/>
      <c r="M99" s="11" t="str">
        <f aca="false">IF(OR($J99="",$L99=""),"",$J99*$L99)</f>
        <v/>
      </c>
      <c r="N99" s="11" t="str">
        <f aca="false">IF($J99="","",$J99-$M99)</f>
        <v/>
      </c>
      <c r="O99" s="11" t="str">
        <f aca="false">IFERROR(IF(OR($J99="",$F99=""),"",$J99/$F99*1000),"")</f>
        <v/>
      </c>
      <c r="P99" s="11" t="str">
        <f aca="false">IFERROR(IF(OR($J99="",$K99=""),"",$J99/$K99),"")</f>
        <v/>
      </c>
      <c r="Q99" s="11" t="str">
        <f aca="false">IFERROR(IF(OR($J99="",$H99="",$I99=""),"",$J99/($H99*$I99)*1000),"")</f>
        <v/>
      </c>
      <c r="R99" s="23"/>
      <c r="S99" s="23"/>
      <c r="T99" s="23"/>
      <c r="U99" s="23"/>
      <c r="V99" s="26" t="str">
        <f aca="false">IF($J99="","",RANK($J99,$J$6:$J$105,0)+COUNTIF($J$6:$J99,$J99)-1)</f>
        <v/>
      </c>
      <c r="W99" s="26" t="str">
        <f aca="false">IF($O99="","",RANK($O99,$O$6:$O$105,0)+COUNTIF($O$6:$O99,$O99)-1)</f>
        <v/>
      </c>
    </row>
    <row r="100" customFormat="false" ht="15" hidden="false" customHeight="false" outlineLevel="0" collapsed="false">
      <c r="A100" s="9" t="str">
        <f aca="false">IF($B100="","",ROW()-5)</f>
        <v/>
      </c>
      <c r="B100" s="23"/>
      <c r="C100" s="23"/>
      <c r="D100" s="23"/>
      <c r="E100" s="23"/>
      <c r="F100" s="16"/>
      <c r="G100" s="9" t="str">
        <f aca="false">IF($F100="","",LOOKUP($F100,Referensi!$A$6:$A$10,Referensi!$B$6:$B$10))</f>
        <v/>
      </c>
      <c r="H100" s="16"/>
      <c r="I100" s="16"/>
      <c r="J100" s="24"/>
      <c r="K100" s="16"/>
      <c r="L100" s="25"/>
      <c r="M100" s="11" t="str">
        <f aca="false">IF(OR($J100="",$L100=""),"",$J100*$L100)</f>
        <v/>
      </c>
      <c r="N100" s="11" t="str">
        <f aca="false">IF($J100="","",$J100-$M100)</f>
        <v/>
      </c>
      <c r="O100" s="11" t="str">
        <f aca="false">IFERROR(IF(OR($J100="",$F100=""),"",$J100/$F100*1000),"")</f>
        <v/>
      </c>
      <c r="P100" s="11" t="str">
        <f aca="false">IFERROR(IF(OR($J100="",$K100=""),"",$J100/$K100),"")</f>
        <v/>
      </c>
      <c r="Q100" s="11" t="str">
        <f aca="false">IFERROR(IF(OR($J100="",$H100="",$I100=""),"",$J100/($H100*$I100)*1000),"")</f>
        <v/>
      </c>
      <c r="R100" s="23"/>
      <c r="S100" s="23"/>
      <c r="T100" s="23"/>
      <c r="U100" s="23"/>
      <c r="V100" s="26" t="str">
        <f aca="false">IF($J100="","",RANK($J100,$J$6:$J$105,0)+COUNTIF($J$6:$J100,$J100)-1)</f>
        <v/>
      </c>
      <c r="W100" s="26" t="str">
        <f aca="false">IF($O100="","",RANK($O100,$O$6:$O$105,0)+COUNTIF($O$6:$O100,$O100)-1)</f>
        <v/>
      </c>
    </row>
    <row r="101" customFormat="false" ht="15" hidden="false" customHeight="false" outlineLevel="0" collapsed="false">
      <c r="A101" s="9" t="str">
        <f aca="false">IF($B101="","",ROW()-5)</f>
        <v/>
      </c>
      <c r="B101" s="23"/>
      <c r="C101" s="23"/>
      <c r="D101" s="23"/>
      <c r="E101" s="23"/>
      <c r="F101" s="16"/>
      <c r="G101" s="9" t="str">
        <f aca="false">IF($F101="","",LOOKUP($F101,Referensi!$A$6:$A$10,Referensi!$B$6:$B$10))</f>
        <v/>
      </c>
      <c r="H101" s="16"/>
      <c r="I101" s="16"/>
      <c r="J101" s="24"/>
      <c r="K101" s="16"/>
      <c r="L101" s="25"/>
      <c r="M101" s="11" t="str">
        <f aca="false">IF(OR($J101="",$L101=""),"",$J101*$L101)</f>
        <v/>
      </c>
      <c r="N101" s="11" t="str">
        <f aca="false">IF($J101="","",$J101-$M101)</f>
        <v/>
      </c>
      <c r="O101" s="11" t="str">
        <f aca="false">IFERROR(IF(OR($J101="",$F101=""),"",$J101/$F101*1000),"")</f>
        <v/>
      </c>
      <c r="P101" s="11" t="str">
        <f aca="false">IFERROR(IF(OR($J101="",$K101=""),"",$J101/$K101),"")</f>
        <v/>
      </c>
      <c r="Q101" s="11" t="str">
        <f aca="false">IFERROR(IF(OR($J101="",$H101="",$I101=""),"",$J101/($H101*$I101)*1000),"")</f>
        <v/>
      </c>
      <c r="R101" s="23"/>
      <c r="S101" s="23"/>
      <c r="T101" s="23"/>
      <c r="U101" s="23"/>
      <c r="V101" s="26" t="str">
        <f aca="false">IF($J101="","",RANK($J101,$J$6:$J$105,0)+COUNTIF($J$6:$J101,$J101)-1)</f>
        <v/>
      </c>
      <c r="W101" s="26" t="str">
        <f aca="false">IF($O101="","",RANK($O101,$O$6:$O$105,0)+COUNTIF($O$6:$O101,$O101)-1)</f>
        <v/>
      </c>
    </row>
    <row r="102" customFormat="false" ht="15" hidden="false" customHeight="false" outlineLevel="0" collapsed="false">
      <c r="A102" s="9" t="str">
        <f aca="false">IF($B102="","",ROW()-5)</f>
        <v/>
      </c>
      <c r="B102" s="23"/>
      <c r="C102" s="23"/>
      <c r="D102" s="23"/>
      <c r="E102" s="23"/>
      <c r="F102" s="16"/>
      <c r="G102" s="9" t="str">
        <f aca="false">IF($F102="","",LOOKUP($F102,Referensi!$A$6:$A$10,Referensi!$B$6:$B$10))</f>
        <v/>
      </c>
      <c r="H102" s="16"/>
      <c r="I102" s="16"/>
      <c r="J102" s="24"/>
      <c r="K102" s="16"/>
      <c r="L102" s="25"/>
      <c r="M102" s="11" t="str">
        <f aca="false">IF(OR($J102="",$L102=""),"",$J102*$L102)</f>
        <v/>
      </c>
      <c r="N102" s="11" t="str">
        <f aca="false">IF($J102="","",$J102-$M102)</f>
        <v/>
      </c>
      <c r="O102" s="11" t="str">
        <f aca="false">IFERROR(IF(OR($J102="",$F102=""),"",$J102/$F102*1000),"")</f>
        <v/>
      </c>
      <c r="P102" s="11" t="str">
        <f aca="false">IFERROR(IF(OR($J102="",$K102=""),"",$J102/$K102),"")</f>
        <v/>
      </c>
      <c r="Q102" s="11" t="str">
        <f aca="false">IFERROR(IF(OR($J102="",$H102="",$I102=""),"",$J102/($H102*$I102)*1000),"")</f>
        <v/>
      </c>
      <c r="R102" s="23"/>
      <c r="S102" s="23"/>
      <c r="T102" s="23"/>
      <c r="U102" s="23"/>
      <c r="V102" s="26" t="str">
        <f aca="false">IF($J102="","",RANK($J102,$J$6:$J$105,0)+COUNTIF($J$6:$J102,$J102)-1)</f>
        <v/>
      </c>
      <c r="W102" s="26" t="str">
        <f aca="false">IF($O102="","",RANK($O102,$O$6:$O$105,0)+COUNTIF($O$6:$O102,$O102)-1)</f>
        <v/>
      </c>
    </row>
    <row r="103" customFormat="false" ht="15" hidden="false" customHeight="false" outlineLevel="0" collapsed="false">
      <c r="A103" s="9" t="str">
        <f aca="false">IF($B103="","",ROW()-5)</f>
        <v/>
      </c>
      <c r="B103" s="23"/>
      <c r="C103" s="23"/>
      <c r="D103" s="23"/>
      <c r="E103" s="23"/>
      <c r="F103" s="16"/>
      <c r="G103" s="9" t="str">
        <f aca="false">IF($F103="","",LOOKUP($F103,Referensi!$A$6:$A$10,Referensi!$B$6:$B$10))</f>
        <v/>
      </c>
      <c r="H103" s="16"/>
      <c r="I103" s="16"/>
      <c r="J103" s="24"/>
      <c r="K103" s="16"/>
      <c r="L103" s="25"/>
      <c r="M103" s="11" t="str">
        <f aca="false">IF(OR($J103="",$L103=""),"",$J103*$L103)</f>
        <v/>
      </c>
      <c r="N103" s="11" t="str">
        <f aca="false">IF($J103="","",$J103-$M103)</f>
        <v/>
      </c>
      <c r="O103" s="11" t="str">
        <f aca="false">IFERROR(IF(OR($J103="",$F103=""),"",$J103/$F103*1000),"")</f>
        <v/>
      </c>
      <c r="P103" s="11" t="str">
        <f aca="false">IFERROR(IF(OR($J103="",$K103=""),"",$J103/$K103),"")</f>
        <v/>
      </c>
      <c r="Q103" s="11" t="str">
        <f aca="false">IFERROR(IF(OR($J103="",$H103="",$I103=""),"",$J103/($H103*$I103)*1000),"")</f>
        <v/>
      </c>
      <c r="R103" s="23"/>
      <c r="S103" s="23"/>
      <c r="T103" s="23"/>
      <c r="U103" s="23"/>
      <c r="V103" s="26" t="str">
        <f aca="false">IF($J103="","",RANK($J103,$J$6:$J$105,0)+COUNTIF($J$6:$J103,$J103)-1)</f>
        <v/>
      </c>
      <c r="W103" s="26" t="str">
        <f aca="false">IF($O103="","",RANK($O103,$O$6:$O$105,0)+COUNTIF($O$6:$O103,$O103)-1)</f>
        <v/>
      </c>
    </row>
    <row r="104" customFormat="false" ht="15" hidden="false" customHeight="false" outlineLevel="0" collapsed="false">
      <c r="A104" s="9" t="str">
        <f aca="false">IF($B104="","",ROW()-5)</f>
        <v/>
      </c>
      <c r="B104" s="23"/>
      <c r="C104" s="23"/>
      <c r="D104" s="23"/>
      <c r="E104" s="23"/>
      <c r="F104" s="16"/>
      <c r="G104" s="9" t="str">
        <f aca="false">IF($F104="","",LOOKUP($F104,Referensi!$A$6:$A$10,Referensi!$B$6:$B$10))</f>
        <v/>
      </c>
      <c r="H104" s="16"/>
      <c r="I104" s="16"/>
      <c r="J104" s="24"/>
      <c r="K104" s="16"/>
      <c r="L104" s="25"/>
      <c r="M104" s="11" t="str">
        <f aca="false">IF(OR($J104="",$L104=""),"",$J104*$L104)</f>
        <v/>
      </c>
      <c r="N104" s="11" t="str">
        <f aca="false">IF($J104="","",$J104-$M104)</f>
        <v/>
      </c>
      <c r="O104" s="11" t="str">
        <f aca="false">IFERROR(IF(OR($J104="",$F104=""),"",$J104/$F104*1000),"")</f>
        <v/>
      </c>
      <c r="P104" s="11" t="str">
        <f aca="false">IFERROR(IF(OR($J104="",$K104=""),"",$J104/$K104),"")</f>
        <v/>
      </c>
      <c r="Q104" s="11" t="str">
        <f aca="false">IFERROR(IF(OR($J104="",$H104="",$I104=""),"",$J104/($H104*$I104)*1000),"")</f>
        <v/>
      </c>
      <c r="R104" s="23"/>
      <c r="S104" s="23"/>
      <c r="T104" s="23"/>
      <c r="U104" s="23"/>
      <c r="V104" s="26" t="str">
        <f aca="false">IF($J104="","",RANK($J104,$J$6:$J$105,0)+COUNTIF($J$6:$J104,$J104)-1)</f>
        <v/>
      </c>
      <c r="W104" s="26" t="str">
        <f aca="false">IF($O104="","",RANK($O104,$O$6:$O$105,0)+COUNTIF($O$6:$O104,$O104)-1)</f>
        <v/>
      </c>
    </row>
    <row r="105" customFormat="false" ht="15" hidden="false" customHeight="false" outlineLevel="0" collapsed="false">
      <c r="A105" s="9" t="str">
        <f aca="false">IF($B105="","",ROW()-5)</f>
        <v/>
      </c>
      <c r="B105" s="23"/>
      <c r="C105" s="23"/>
      <c r="D105" s="23"/>
      <c r="E105" s="23"/>
      <c r="F105" s="16"/>
      <c r="G105" s="9" t="str">
        <f aca="false">IF($F105="","",LOOKUP($F105,Referensi!$A$6:$A$10,Referensi!$B$6:$B$10))</f>
        <v/>
      </c>
      <c r="H105" s="16"/>
      <c r="I105" s="16"/>
      <c r="J105" s="24"/>
      <c r="K105" s="16"/>
      <c r="L105" s="25"/>
      <c r="M105" s="11" t="str">
        <f aca="false">IF(OR($J105="",$L105=""),"",$J105*$L105)</f>
        <v/>
      </c>
      <c r="N105" s="11" t="str">
        <f aca="false">IF($J105="","",$J105-$M105)</f>
        <v/>
      </c>
      <c r="O105" s="11" t="str">
        <f aca="false">IFERROR(IF(OR($J105="",$F105=""),"",$J105/$F105*1000),"")</f>
        <v/>
      </c>
      <c r="P105" s="11" t="str">
        <f aca="false">IFERROR(IF(OR($J105="",$K105=""),"",$J105/$K105),"")</f>
        <v/>
      </c>
      <c r="Q105" s="11" t="str">
        <f aca="false">IFERROR(IF(OR($J105="",$H105="",$I105=""),"",$J105/($H105*$I105)*1000),"")</f>
        <v/>
      </c>
      <c r="R105" s="23"/>
      <c r="S105" s="23"/>
      <c r="T105" s="23"/>
      <c r="U105" s="23"/>
      <c r="V105" s="26" t="str">
        <f aca="false">IF($J105="","",RANK($J105,$J$6:$J$105,0)+COUNTIF($J$6:$J105,$J105)-1)</f>
        <v/>
      </c>
      <c r="W105" s="26" t="str">
        <f aca="false">IF($O105="","",RANK($O105,$O$6:$O$105,0)+COUNTIF($O$6:$O105,$O105)-1)</f>
        <v/>
      </c>
    </row>
    <row r="107" customFormat="false" ht="15" hidden="false" customHeight="false" outlineLevel="0" collapsed="false">
      <c r="B107" s="27" t="s">
        <v>109</v>
      </c>
      <c r="F107" s="28" t="n">
        <f aca="false">SUM(F6:F105)</f>
        <v>799700</v>
      </c>
      <c r="J107" s="29" t="n">
        <f aca="false">SUM(J6:J105)</f>
        <v>68750000</v>
      </c>
      <c r="K107" s="28" t="n">
        <f aca="false">SUM(K6:K105)</f>
        <v>329</v>
      </c>
      <c r="M107" s="29" t="n">
        <f aca="false">SUM(M6:M105)</f>
        <v>7299000</v>
      </c>
      <c r="N107" s="29" t="n">
        <f aca="false">SUM(N6:N105)</f>
        <v>61451000</v>
      </c>
    </row>
    <row r="109" customFormat="false" ht="15" hidden="false" customHeight="false" outlineLevel="0" collapsed="false">
      <c r="B109" s="13" t="s">
        <v>110</v>
      </c>
    </row>
  </sheetData>
  <autoFilter ref="A4:W105"/>
  <conditionalFormatting sqref="O6:O105">
    <cfRule type="colorScale" priority="2">
      <colorScale>
        <cfvo type="min" val="0"/>
        <cfvo type="percentile" val="50"/>
        <cfvo type="max" val="0"/>
        <color rgb="FFF8CBAD"/>
        <color rgb="FFFFE699"/>
        <color rgb="FFC6E0B4"/>
      </colorScale>
    </cfRule>
  </conditionalFormatting>
  <conditionalFormatting sqref="R6:R105">
    <cfRule type="cellIs" priority="3" operator="equal" aboveAverage="0" equalAverage="0" bottom="0" percent="0" rank="0" text="" dxfId="15">
      <formula>"Berhenti"</formula>
    </cfRule>
    <cfRule type="cellIs" priority="4" operator="equal" aboveAverage="0" equalAverage="0" bottom="0" percent="0" rank="0" text="" dxfId="16">
      <formula>"Aktif"</formula>
    </cfRule>
  </conditionalFormatting>
  <dataValidations count="2">
    <dataValidation allowBlank="true" error="Pilih dari daftar. Ketikan bebas membuat baris ini hilang dari Dashboard." errorStyle="stop" errorTitle="Platform tidak dikenal" operator="between" showDropDown="false" showErrorMessage="true" showInputMessage="false" sqref="D6:D105" type="list">
      <formula1>Referensi!$D$5:$D$9</formula1>
      <formula2>0</formula2>
    </dataValidation>
    <dataValidation allowBlank="true" error="Pilih dari daftar: Aktif, Baru, Pantau, atau Berhenti." errorStyle="stop" errorTitle="Status tidak dikenal" operator="between" showDropDown="false" showErrorMessage="true" showInputMessage="false" sqref="R6:R105" type="list">
      <formula1>Referensi!$F$5:$F$8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17" min="3" style="0" width="13"/>
  </cols>
  <sheetData>
    <row r="1" customFormat="false" ht="19.7" hidden="false" customHeight="false" outlineLevel="0" collapsed="false">
      <c r="A1" s="1" t="s">
        <v>111</v>
      </c>
    </row>
    <row r="2" customFormat="false" ht="15" hidden="false" customHeight="false" outlineLevel="0" collapsed="false">
      <c r="A2" s="2" t="s">
        <v>112</v>
      </c>
    </row>
    <row r="4" customFormat="false" ht="33.75" hidden="false" customHeight="true" outlineLevel="0" collapsed="false">
      <c r="A4" s="22" t="s">
        <v>67</v>
      </c>
      <c r="B4" s="22" t="s">
        <v>33</v>
      </c>
      <c r="C4" s="22" t="s">
        <v>113</v>
      </c>
      <c r="D4" s="22" t="s">
        <v>114</v>
      </c>
      <c r="E4" s="22" t="s">
        <v>115</v>
      </c>
      <c r="F4" s="22" t="s">
        <v>116</v>
      </c>
      <c r="G4" s="22" t="s">
        <v>117</v>
      </c>
      <c r="H4" s="22" t="s">
        <v>118</v>
      </c>
      <c r="I4" s="22" t="s">
        <v>119</v>
      </c>
      <c r="J4" s="22" t="s">
        <v>120</v>
      </c>
      <c r="K4" s="22" t="s">
        <v>121</v>
      </c>
      <c r="L4" s="22" t="s">
        <v>122</v>
      </c>
      <c r="M4" s="22" t="s">
        <v>123</v>
      </c>
      <c r="N4" s="22" t="s">
        <v>124</v>
      </c>
      <c r="O4" s="22" t="s">
        <v>125</v>
      </c>
      <c r="P4" s="22" t="s">
        <v>126</v>
      </c>
      <c r="Q4" s="22" t="s">
        <v>127</v>
      </c>
    </row>
    <row r="6" customFormat="false" ht="15" hidden="false" customHeight="false" outlineLevel="0" collapsed="false">
      <c r="A6" s="9" t="n">
        <f aca="false">IF($B6="","",ROW()-5)</f>
        <v>1</v>
      </c>
      <c r="B6" s="9" t="str">
        <f aca="false">IF('Daftar Affiliate'!B6="","",'Daftar Affiliate'!B6)</f>
        <v>Rizky Pratama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11" t="n">
        <f aca="false">IF($B6="","",SUM($C6:$N6))</f>
        <v>0</v>
      </c>
      <c r="P6" s="11" t="str">
        <f aca="false">IFERROR(IF($B6="","",AVERAGEIF($C6:$N6,"&gt;0")),"")</f>
        <v/>
      </c>
      <c r="Q6" s="9" t="str">
        <f aca="false">IFERROR(IF(SUM($C6:$N6)=0,"",INDEX($C$4:$N$4,MATCH(MAX($C6:$N6),$C6:$N6,0))),"")</f>
        <v/>
      </c>
    </row>
    <row r="7" customFormat="false" ht="15" hidden="false" customHeight="false" outlineLevel="0" collapsed="false">
      <c r="A7" s="9" t="n">
        <f aca="false">IF($B7="","",ROW()-5)</f>
        <v>2</v>
      </c>
      <c r="B7" s="9" t="str">
        <f aca="false">IF('Daftar Affiliate'!B7="","",'Daftar Affiliate'!B7)</f>
        <v>Bagas Adi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11" t="n">
        <f aca="false">IF($B7="","",SUM($C7:$N7))</f>
        <v>0</v>
      </c>
      <c r="P7" s="11" t="str">
        <f aca="false">IFERROR(IF($B7="","",AVERAGEIF($C7:$N7,"&gt;0")),"")</f>
        <v/>
      </c>
      <c r="Q7" s="9" t="str">
        <f aca="false">IFERROR(IF(SUM($C7:$N7)=0,"",INDEX($C$4:$N$4,MATCH(MAX($C7:$N7),$C7:$N7,0))),"")</f>
        <v/>
      </c>
    </row>
    <row r="8" customFormat="false" ht="15" hidden="false" customHeight="false" outlineLevel="0" collapsed="false">
      <c r="A8" s="9" t="n">
        <f aca="false">IF($B8="","",ROW()-5)</f>
        <v>3</v>
      </c>
      <c r="B8" s="9" t="str">
        <f aca="false">IF('Daftar Affiliate'!B8="","",'Daftar Affiliate'!B8)</f>
        <v>Dimas Nugroho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11" t="n">
        <f aca="false">IF($B8="","",SUM($C8:$N8))</f>
        <v>0</v>
      </c>
      <c r="P8" s="11" t="str">
        <f aca="false">IFERROR(IF($B8="","",AVERAGEIF($C8:$N8,"&gt;0")),"")</f>
        <v/>
      </c>
      <c r="Q8" s="9" t="str">
        <f aca="false">IFERROR(IF(SUM($C8:$N8)=0,"",INDEX($C$4:$N$4,MATCH(MAX($C8:$N8),$C8:$N8,0))),"")</f>
        <v/>
      </c>
    </row>
    <row r="9" customFormat="false" ht="15" hidden="false" customHeight="false" outlineLevel="0" collapsed="false">
      <c r="A9" s="9" t="n">
        <f aca="false">IF($B9="","",ROW()-5)</f>
        <v>4</v>
      </c>
      <c r="B9" s="9" t="str">
        <f aca="false">IF('Daftar Affiliate'!B9="","",'Daftar Affiliate'!B9)</f>
        <v>Aditya Wijaya</v>
      </c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11" t="n">
        <f aca="false">IF($B9="","",SUM($C9:$N9))</f>
        <v>0</v>
      </c>
      <c r="P9" s="11" t="str">
        <f aca="false">IFERROR(IF($B9="","",AVERAGEIF($C9:$N9,"&gt;0")),"")</f>
        <v/>
      </c>
      <c r="Q9" s="9" t="str">
        <f aca="false">IFERROR(IF(SUM($C9:$N9)=0,"",INDEX($C$4:$N$4,MATCH(MAX($C9:$N9),$C9:$N9,0))),"")</f>
        <v/>
      </c>
    </row>
    <row r="10" customFormat="false" ht="15" hidden="false" customHeight="false" outlineLevel="0" collapsed="false">
      <c r="A10" s="9" t="n">
        <f aca="false">IF($B10="","",ROW()-5)</f>
        <v>5</v>
      </c>
      <c r="B10" s="9" t="str">
        <f aca="false">IF('Daftar Affiliate'!B10="","",'Daftar Affiliate'!B10)</f>
        <v>Fajar Ramadhan</v>
      </c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11" t="n">
        <f aca="false">IF($B10="","",SUM($C10:$N10))</f>
        <v>0</v>
      </c>
      <c r="P10" s="11" t="str">
        <f aca="false">IFERROR(IF($B10="","",AVERAGEIF($C10:$N10,"&gt;0")),"")</f>
        <v/>
      </c>
      <c r="Q10" s="9" t="str">
        <f aca="false">IFERROR(IF(SUM($C10:$N10)=0,"",INDEX($C$4:$N$4,MATCH(MAX($C10:$N10),$C10:$N10,0))),"")</f>
        <v/>
      </c>
    </row>
    <row r="11" customFormat="false" ht="15" hidden="false" customHeight="false" outlineLevel="0" collapsed="false">
      <c r="A11" s="9" t="str">
        <f aca="false">IF($B11="","",ROW()-5)</f>
        <v/>
      </c>
      <c r="B11" s="9" t="str">
        <f aca="false">IF('Daftar Affiliate'!B11="","",'Daftar Affiliate'!B11)</f>
        <v/>
      </c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11" t="str">
        <f aca="false">IF($B11="","",SUM($C11:$N11))</f>
        <v/>
      </c>
      <c r="P11" s="11" t="str">
        <f aca="false">IFERROR(IF($B11="","",AVERAGEIF($C11:$N11,"&gt;0")),"")</f>
        <v/>
      </c>
      <c r="Q11" s="9" t="str">
        <f aca="false">IFERROR(IF(SUM($C11:$N11)=0,"",INDEX($C$4:$N$4,MATCH(MAX($C11:$N11),$C11:$N11,0))),"")</f>
        <v/>
      </c>
    </row>
    <row r="12" customFormat="false" ht="15" hidden="false" customHeight="false" outlineLevel="0" collapsed="false">
      <c r="A12" s="9" t="str">
        <f aca="false">IF($B12="","",ROW()-5)</f>
        <v/>
      </c>
      <c r="B12" s="9" t="str">
        <f aca="false">IF('Daftar Affiliate'!B12="","",'Daftar Affiliate'!B12)</f>
        <v/>
      </c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11" t="str">
        <f aca="false">IF($B12="","",SUM($C12:$N12))</f>
        <v/>
      </c>
      <c r="P12" s="11" t="str">
        <f aca="false">IFERROR(IF($B12="","",AVERAGEIF($C12:$N12,"&gt;0")),"")</f>
        <v/>
      </c>
      <c r="Q12" s="9" t="str">
        <f aca="false">IFERROR(IF(SUM($C12:$N12)=0,"",INDEX($C$4:$N$4,MATCH(MAX($C12:$N12),$C12:$N12,0))),"")</f>
        <v/>
      </c>
    </row>
    <row r="13" customFormat="false" ht="15" hidden="false" customHeight="false" outlineLevel="0" collapsed="false">
      <c r="A13" s="9" t="str">
        <f aca="false">IF($B13="","",ROW()-5)</f>
        <v/>
      </c>
      <c r="B13" s="9" t="str">
        <f aca="false">IF('Daftar Affiliate'!B13="","",'Daftar Affiliate'!B13)</f>
        <v/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11" t="str">
        <f aca="false">IF($B13="","",SUM($C13:$N13))</f>
        <v/>
      </c>
      <c r="P13" s="11" t="str">
        <f aca="false">IFERROR(IF($B13="","",AVERAGEIF($C13:$N13,"&gt;0")),"")</f>
        <v/>
      </c>
      <c r="Q13" s="9" t="str">
        <f aca="false">IFERROR(IF(SUM($C13:$N13)=0,"",INDEX($C$4:$N$4,MATCH(MAX($C13:$N13),$C13:$N13,0))),"")</f>
        <v/>
      </c>
    </row>
    <row r="14" customFormat="false" ht="15" hidden="false" customHeight="false" outlineLevel="0" collapsed="false">
      <c r="A14" s="9" t="str">
        <f aca="false">IF($B14="","",ROW()-5)</f>
        <v/>
      </c>
      <c r="B14" s="9" t="str">
        <f aca="false">IF('Daftar Affiliate'!B14="","",'Daftar Affiliate'!B14)</f>
        <v/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11" t="str">
        <f aca="false">IF($B14="","",SUM($C14:$N14))</f>
        <v/>
      </c>
      <c r="P14" s="11" t="str">
        <f aca="false">IFERROR(IF($B14="","",AVERAGEIF($C14:$N14,"&gt;0")),"")</f>
        <v/>
      </c>
      <c r="Q14" s="9" t="str">
        <f aca="false">IFERROR(IF(SUM($C14:$N14)=0,"",INDEX($C$4:$N$4,MATCH(MAX($C14:$N14),$C14:$N14,0))),"")</f>
        <v/>
      </c>
    </row>
    <row r="15" customFormat="false" ht="15" hidden="false" customHeight="false" outlineLevel="0" collapsed="false">
      <c r="A15" s="9" t="str">
        <f aca="false">IF($B15="","",ROW()-5)</f>
        <v/>
      </c>
      <c r="B15" s="9" t="str">
        <f aca="false">IF('Daftar Affiliate'!B15="","",'Daftar Affiliate'!B15)</f>
        <v/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11" t="str">
        <f aca="false">IF($B15="","",SUM($C15:$N15))</f>
        <v/>
      </c>
      <c r="P15" s="11" t="str">
        <f aca="false">IFERROR(IF($B15="","",AVERAGEIF($C15:$N15,"&gt;0")),"")</f>
        <v/>
      </c>
      <c r="Q15" s="9" t="str">
        <f aca="false">IFERROR(IF(SUM($C15:$N15)=0,"",INDEX($C$4:$N$4,MATCH(MAX($C15:$N15),$C15:$N15,0))),"")</f>
        <v/>
      </c>
    </row>
    <row r="16" customFormat="false" ht="15" hidden="false" customHeight="false" outlineLevel="0" collapsed="false">
      <c r="A16" s="9" t="str">
        <f aca="false">IF($B16="","",ROW()-5)</f>
        <v/>
      </c>
      <c r="B16" s="9" t="str">
        <f aca="false">IF('Daftar Affiliate'!B16="","",'Daftar Affiliate'!B16)</f>
        <v/>
      </c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11" t="str">
        <f aca="false">IF($B16="","",SUM($C16:$N16))</f>
        <v/>
      </c>
      <c r="P16" s="11" t="str">
        <f aca="false">IFERROR(IF($B16="","",AVERAGEIF($C16:$N16,"&gt;0")),"")</f>
        <v/>
      </c>
      <c r="Q16" s="9" t="str">
        <f aca="false">IFERROR(IF(SUM($C16:$N16)=0,"",INDEX($C$4:$N$4,MATCH(MAX($C16:$N16),$C16:$N16,0))),"")</f>
        <v/>
      </c>
    </row>
    <row r="17" customFormat="false" ht="15" hidden="false" customHeight="false" outlineLevel="0" collapsed="false">
      <c r="A17" s="9" t="str">
        <f aca="false">IF($B17="","",ROW()-5)</f>
        <v/>
      </c>
      <c r="B17" s="9" t="str">
        <f aca="false">IF('Daftar Affiliate'!B17="","",'Daftar Affiliate'!B17)</f>
        <v/>
      </c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11" t="str">
        <f aca="false">IF($B17="","",SUM($C17:$N17))</f>
        <v/>
      </c>
      <c r="P17" s="11" t="str">
        <f aca="false">IFERROR(IF($B17="","",AVERAGEIF($C17:$N17,"&gt;0")),"")</f>
        <v/>
      </c>
      <c r="Q17" s="9" t="str">
        <f aca="false">IFERROR(IF(SUM($C17:$N17)=0,"",INDEX($C$4:$N$4,MATCH(MAX($C17:$N17),$C17:$N17,0))),"")</f>
        <v/>
      </c>
    </row>
    <row r="18" customFormat="false" ht="15" hidden="false" customHeight="false" outlineLevel="0" collapsed="false">
      <c r="A18" s="9" t="str">
        <f aca="false">IF($B18="","",ROW()-5)</f>
        <v/>
      </c>
      <c r="B18" s="9" t="str">
        <f aca="false">IF('Daftar Affiliate'!B18="","",'Daftar Affiliate'!B18)</f>
        <v/>
      </c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11" t="str">
        <f aca="false">IF($B18="","",SUM($C18:$N18))</f>
        <v/>
      </c>
      <c r="P18" s="11" t="str">
        <f aca="false">IFERROR(IF($B18="","",AVERAGEIF($C18:$N18,"&gt;0")),"")</f>
        <v/>
      </c>
      <c r="Q18" s="9" t="str">
        <f aca="false">IFERROR(IF(SUM($C18:$N18)=0,"",INDEX($C$4:$N$4,MATCH(MAX($C18:$N18),$C18:$N18,0))),"")</f>
        <v/>
      </c>
    </row>
    <row r="19" customFormat="false" ht="15" hidden="false" customHeight="false" outlineLevel="0" collapsed="false">
      <c r="A19" s="9" t="str">
        <f aca="false">IF($B19="","",ROW()-5)</f>
        <v/>
      </c>
      <c r="B19" s="9" t="str">
        <f aca="false">IF('Daftar Affiliate'!B19="","",'Daftar Affiliate'!B19)</f>
        <v/>
      </c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11" t="str">
        <f aca="false">IF($B19="","",SUM($C19:$N19))</f>
        <v/>
      </c>
      <c r="P19" s="11" t="str">
        <f aca="false">IFERROR(IF($B19="","",AVERAGEIF($C19:$N19,"&gt;0")),"")</f>
        <v/>
      </c>
      <c r="Q19" s="9" t="str">
        <f aca="false">IFERROR(IF(SUM($C19:$N19)=0,"",INDEX($C$4:$N$4,MATCH(MAX($C19:$N19),$C19:$N19,0))),"")</f>
        <v/>
      </c>
    </row>
    <row r="20" customFormat="false" ht="15" hidden="false" customHeight="false" outlineLevel="0" collapsed="false">
      <c r="A20" s="9" t="str">
        <f aca="false">IF($B20="","",ROW()-5)</f>
        <v/>
      </c>
      <c r="B20" s="9" t="str">
        <f aca="false">IF('Daftar Affiliate'!B20="","",'Daftar Affiliate'!B20)</f>
        <v/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11" t="str">
        <f aca="false">IF($B20="","",SUM($C20:$N20))</f>
        <v/>
      </c>
      <c r="P20" s="11" t="str">
        <f aca="false">IFERROR(IF($B20="","",AVERAGEIF($C20:$N20,"&gt;0")),"")</f>
        <v/>
      </c>
      <c r="Q20" s="9" t="str">
        <f aca="false">IFERROR(IF(SUM($C20:$N20)=0,"",INDEX($C$4:$N$4,MATCH(MAX($C20:$N20),$C20:$N20,0))),"")</f>
        <v/>
      </c>
    </row>
    <row r="21" customFormat="false" ht="15" hidden="false" customHeight="false" outlineLevel="0" collapsed="false">
      <c r="A21" s="9" t="str">
        <f aca="false">IF($B21="","",ROW()-5)</f>
        <v/>
      </c>
      <c r="B21" s="9" t="str">
        <f aca="false">IF('Daftar Affiliate'!B21="","",'Daftar Affiliate'!B21)</f>
        <v/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11" t="str">
        <f aca="false">IF($B21="","",SUM($C21:$N21))</f>
        <v/>
      </c>
      <c r="P21" s="11" t="str">
        <f aca="false">IFERROR(IF($B21="","",AVERAGEIF($C21:$N21,"&gt;0")),"")</f>
        <v/>
      </c>
      <c r="Q21" s="9" t="str">
        <f aca="false">IFERROR(IF(SUM($C21:$N21)=0,"",INDEX($C$4:$N$4,MATCH(MAX($C21:$N21),$C21:$N21,0))),"")</f>
        <v/>
      </c>
    </row>
    <row r="22" customFormat="false" ht="15" hidden="false" customHeight="false" outlineLevel="0" collapsed="false">
      <c r="A22" s="9" t="str">
        <f aca="false">IF($B22="","",ROW()-5)</f>
        <v/>
      </c>
      <c r="B22" s="9" t="str">
        <f aca="false">IF('Daftar Affiliate'!B22="","",'Daftar Affiliate'!B22)</f>
        <v/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11" t="str">
        <f aca="false">IF($B22="","",SUM($C22:$N22))</f>
        <v/>
      </c>
      <c r="P22" s="11" t="str">
        <f aca="false">IFERROR(IF($B22="","",AVERAGEIF($C22:$N22,"&gt;0")),"")</f>
        <v/>
      </c>
      <c r="Q22" s="9" t="str">
        <f aca="false">IFERROR(IF(SUM($C22:$N22)=0,"",INDEX($C$4:$N$4,MATCH(MAX($C22:$N22),$C22:$N22,0))),"")</f>
        <v/>
      </c>
    </row>
    <row r="23" customFormat="false" ht="15" hidden="false" customHeight="false" outlineLevel="0" collapsed="false">
      <c r="A23" s="9" t="str">
        <f aca="false">IF($B23="","",ROW()-5)</f>
        <v/>
      </c>
      <c r="B23" s="9" t="str">
        <f aca="false">IF('Daftar Affiliate'!B23="","",'Daftar Affiliate'!B23)</f>
        <v/>
      </c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11" t="str">
        <f aca="false">IF($B23="","",SUM($C23:$N23))</f>
        <v/>
      </c>
      <c r="P23" s="11" t="str">
        <f aca="false">IFERROR(IF($B23="","",AVERAGEIF($C23:$N23,"&gt;0")),"")</f>
        <v/>
      </c>
      <c r="Q23" s="9" t="str">
        <f aca="false">IFERROR(IF(SUM($C23:$N23)=0,"",INDEX($C$4:$N$4,MATCH(MAX($C23:$N23),$C23:$N23,0))),"")</f>
        <v/>
      </c>
    </row>
    <row r="24" customFormat="false" ht="15" hidden="false" customHeight="false" outlineLevel="0" collapsed="false">
      <c r="A24" s="9" t="str">
        <f aca="false">IF($B24="","",ROW()-5)</f>
        <v/>
      </c>
      <c r="B24" s="9" t="str">
        <f aca="false">IF('Daftar Affiliate'!B24="","",'Daftar Affiliate'!B24)</f>
        <v/>
      </c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11" t="str">
        <f aca="false">IF($B24="","",SUM($C24:$N24))</f>
        <v/>
      </c>
      <c r="P24" s="11" t="str">
        <f aca="false">IFERROR(IF($B24="","",AVERAGEIF($C24:$N24,"&gt;0")),"")</f>
        <v/>
      </c>
      <c r="Q24" s="9" t="str">
        <f aca="false">IFERROR(IF(SUM($C24:$N24)=0,"",INDEX($C$4:$N$4,MATCH(MAX($C24:$N24),$C24:$N24,0))),"")</f>
        <v/>
      </c>
    </row>
    <row r="25" customFormat="false" ht="15" hidden="false" customHeight="false" outlineLevel="0" collapsed="false">
      <c r="A25" s="9" t="str">
        <f aca="false">IF($B25="","",ROW()-5)</f>
        <v/>
      </c>
      <c r="B25" s="9" t="str">
        <f aca="false">IF('Daftar Affiliate'!B25="","",'Daftar Affiliate'!B25)</f>
        <v/>
      </c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11" t="str">
        <f aca="false">IF($B25="","",SUM($C25:$N25))</f>
        <v/>
      </c>
      <c r="P25" s="11" t="str">
        <f aca="false">IFERROR(IF($B25="","",AVERAGEIF($C25:$N25,"&gt;0")),"")</f>
        <v/>
      </c>
      <c r="Q25" s="9" t="str">
        <f aca="false">IFERROR(IF(SUM($C25:$N25)=0,"",INDEX($C$4:$N$4,MATCH(MAX($C25:$N25),$C25:$N25,0))),"")</f>
        <v/>
      </c>
    </row>
    <row r="26" customFormat="false" ht="15" hidden="false" customHeight="false" outlineLevel="0" collapsed="false">
      <c r="A26" s="9" t="str">
        <f aca="false">IF($B26="","",ROW()-5)</f>
        <v/>
      </c>
      <c r="B26" s="9" t="str">
        <f aca="false">IF('Daftar Affiliate'!B26="","",'Daftar Affiliate'!B26)</f>
        <v/>
      </c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11" t="str">
        <f aca="false">IF($B26="","",SUM($C26:$N26))</f>
        <v/>
      </c>
      <c r="P26" s="11" t="str">
        <f aca="false">IFERROR(IF($B26="","",AVERAGEIF($C26:$N26,"&gt;0")),"")</f>
        <v/>
      </c>
      <c r="Q26" s="9" t="str">
        <f aca="false">IFERROR(IF(SUM($C26:$N26)=0,"",INDEX($C$4:$N$4,MATCH(MAX($C26:$N26),$C26:$N26,0))),"")</f>
        <v/>
      </c>
    </row>
    <row r="27" customFormat="false" ht="15" hidden="false" customHeight="false" outlineLevel="0" collapsed="false">
      <c r="A27" s="9" t="str">
        <f aca="false">IF($B27="","",ROW()-5)</f>
        <v/>
      </c>
      <c r="B27" s="9" t="str">
        <f aca="false">IF('Daftar Affiliate'!B27="","",'Daftar Affiliate'!B27)</f>
        <v/>
      </c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11" t="str">
        <f aca="false">IF($B27="","",SUM($C27:$N27))</f>
        <v/>
      </c>
      <c r="P27" s="11" t="str">
        <f aca="false">IFERROR(IF($B27="","",AVERAGEIF($C27:$N27,"&gt;0")),"")</f>
        <v/>
      </c>
      <c r="Q27" s="9" t="str">
        <f aca="false">IFERROR(IF(SUM($C27:$N27)=0,"",INDEX($C$4:$N$4,MATCH(MAX($C27:$N27),$C27:$N27,0))),"")</f>
        <v/>
      </c>
    </row>
    <row r="28" customFormat="false" ht="15" hidden="false" customHeight="false" outlineLevel="0" collapsed="false">
      <c r="A28" s="9" t="str">
        <f aca="false">IF($B28="","",ROW()-5)</f>
        <v/>
      </c>
      <c r="B28" s="9" t="str">
        <f aca="false">IF('Daftar Affiliate'!B28="","",'Daftar Affiliate'!B28)</f>
        <v/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11" t="str">
        <f aca="false">IF($B28="","",SUM($C28:$N28))</f>
        <v/>
      </c>
      <c r="P28" s="11" t="str">
        <f aca="false">IFERROR(IF($B28="","",AVERAGEIF($C28:$N28,"&gt;0")),"")</f>
        <v/>
      </c>
      <c r="Q28" s="9" t="str">
        <f aca="false">IFERROR(IF(SUM($C28:$N28)=0,"",INDEX($C$4:$N$4,MATCH(MAX($C28:$N28),$C28:$N28,0))),"")</f>
        <v/>
      </c>
    </row>
    <row r="29" customFormat="false" ht="15" hidden="false" customHeight="false" outlineLevel="0" collapsed="false">
      <c r="A29" s="9" t="str">
        <f aca="false">IF($B29="","",ROW()-5)</f>
        <v/>
      </c>
      <c r="B29" s="9" t="str">
        <f aca="false">IF('Daftar Affiliate'!B29="","",'Daftar Affiliate'!B29)</f>
        <v/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11" t="str">
        <f aca="false">IF($B29="","",SUM($C29:$N29))</f>
        <v/>
      </c>
      <c r="P29" s="11" t="str">
        <f aca="false">IFERROR(IF($B29="","",AVERAGEIF($C29:$N29,"&gt;0")),"")</f>
        <v/>
      </c>
      <c r="Q29" s="9" t="str">
        <f aca="false">IFERROR(IF(SUM($C29:$N29)=0,"",INDEX($C$4:$N$4,MATCH(MAX($C29:$N29),$C29:$N29,0))),"")</f>
        <v/>
      </c>
    </row>
    <row r="30" customFormat="false" ht="15" hidden="false" customHeight="false" outlineLevel="0" collapsed="false">
      <c r="A30" s="9" t="str">
        <f aca="false">IF($B30="","",ROW()-5)</f>
        <v/>
      </c>
      <c r="B30" s="9" t="str">
        <f aca="false">IF('Daftar Affiliate'!B30="","",'Daftar Affiliate'!B30)</f>
        <v/>
      </c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11" t="str">
        <f aca="false">IF($B30="","",SUM($C30:$N30))</f>
        <v/>
      </c>
      <c r="P30" s="11" t="str">
        <f aca="false">IFERROR(IF($B30="","",AVERAGEIF($C30:$N30,"&gt;0")),"")</f>
        <v/>
      </c>
      <c r="Q30" s="9" t="str">
        <f aca="false">IFERROR(IF(SUM($C30:$N30)=0,"",INDEX($C$4:$N$4,MATCH(MAX($C30:$N30),$C30:$N30,0))),"")</f>
        <v/>
      </c>
    </row>
    <row r="31" customFormat="false" ht="15" hidden="false" customHeight="false" outlineLevel="0" collapsed="false">
      <c r="A31" s="9" t="str">
        <f aca="false">IF($B31="","",ROW()-5)</f>
        <v/>
      </c>
      <c r="B31" s="9" t="str">
        <f aca="false">IF('Daftar Affiliate'!B31="","",'Daftar Affiliate'!B31)</f>
        <v/>
      </c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11" t="str">
        <f aca="false">IF($B31="","",SUM($C31:$N31))</f>
        <v/>
      </c>
      <c r="P31" s="11" t="str">
        <f aca="false">IFERROR(IF($B31="","",AVERAGEIF($C31:$N31,"&gt;0")),"")</f>
        <v/>
      </c>
      <c r="Q31" s="9" t="str">
        <f aca="false">IFERROR(IF(SUM($C31:$N31)=0,"",INDEX($C$4:$N$4,MATCH(MAX($C31:$N31),$C31:$N31,0))),"")</f>
        <v/>
      </c>
    </row>
    <row r="32" customFormat="false" ht="15" hidden="false" customHeight="false" outlineLevel="0" collapsed="false">
      <c r="A32" s="9" t="str">
        <f aca="false">IF($B32="","",ROW()-5)</f>
        <v/>
      </c>
      <c r="B32" s="9" t="str">
        <f aca="false">IF('Daftar Affiliate'!B32="","",'Daftar Affiliate'!B32)</f>
        <v/>
      </c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11" t="str">
        <f aca="false">IF($B32="","",SUM($C32:$N32))</f>
        <v/>
      </c>
      <c r="P32" s="11" t="str">
        <f aca="false">IFERROR(IF($B32="","",AVERAGEIF($C32:$N32,"&gt;0")),"")</f>
        <v/>
      </c>
      <c r="Q32" s="9" t="str">
        <f aca="false">IFERROR(IF(SUM($C32:$N32)=0,"",INDEX($C$4:$N$4,MATCH(MAX($C32:$N32),$C32:$N32,0))),"")</f>
        <v/>
      </c>
    </row>
    <row r="33" customFormat="false" ht="15" hidden="false" customHeight="false" outlineLevel="0" collapsed="false">
      <c r="A33" s="9" t="str">
        <f aca="false">IF($B33="","",ROW()-5)</f>
        <v/>
      </c>
      <c r="B33" s="9" t="str">
        <f aca="false">IF('Daftar Affiliate'!B33="","",'Daftar Affiliate'!B33)</f>
        <v/>
      </c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11" t="str">
        <f aca="false">IF($B33="","",SUM($C33:$N33))</f>
        <v/>
      </c>
      <c r="P33" s="11" t="str">
        <f aca="false">IFERROR(IF($B33="","",AVERAGEIF($C33:$N33,"&gt;0")),"")</f>
        <v/>
      </c>
      <c r="Q33" s="9" t="str">
        <f aca="false">IFERROR(IF(SUM($C33:$N33)=0,"",INDEX($C$4:$N$4,MATCH(MAX($C33:$N33),$C33:$N33,0))),"")</f>
        <v/>
      </c>
    </row>
    <row r="34" customFormat="false" ht="15" hidden="false" customHeight="false" outlineLevel="0" collapsed="false">
      <c r="A34" s="9" t="str">
        <f aca="false">IF($B34="","",ROW()-5)</f>
        <v/>
      </c>
      <c r="B34" s="9" t="str">
        <f aca="false">IF('Daftar Affiliate'!B34="","",'Daftar Affiliate'!B34)</f>
        <v/>
      </c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11" t="str">
        <f aca="false">IF($B34="","",SUM($C34:$N34))</f>
        <v/>
      </c>
      <c r="P34" s="11" t="str">
        <f aca="false">IFERROR(IF($B34="","",AVERAGEIF($C34:$N34,"&gt;0")),"")</f>
        <v/>
      </c>
      <c r="Q34" s="9" t="str">
        <f aca="false">IFERROR(IF(SUM($C34:$N34)=0,"",INDEX($C$4:$N$4,MATCH(MAX($C34:$N34),$C34:$N34,0))),"")</f>
        <v/>
      </c>
    </row>
    <row r="35" customFormat="false" ht="15" hidden="false" customHeight="false" outlineLevel="0" collapsed="false">
      <c r="A35" s="9" t="str">
        <f aca="false">IF($B35="","",ROW()-5)</f>
        <v/>
      </c>
      <c r="B35" s="9" t="str">
        <f aca="false">IF('Daftar Affiliate'!B35="","",'Daftar Affiliate'!B35)</f>
        <v/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11" t="str">
        <f aca="false">IF($B35="","",SUM($C35:$N35))</f>
        <v/>
      </c>
      <c r="P35" s="11" t="str">
        <f aca="false">IFERROR(IF($B35="","",AVERAGEIF($C35:$N35,"&gt;0")),"")</f>
        <v/>
      </c>
      <c r="Q35" s="9" t="str">
        <f aca="false">IFERROR(IF(SUM($C35:$N35)=0,"",INDEX($C$4:$N$4,MATCH(MAX($C35:$N35),$C35:$N35,0))),"")</f>
        <v/>
      </c>
    </row>
    <row r="36" customFormat="false" ht="15" hidden="false" customHeight="false" outlineLevel="0" collapsed="false">
      <c r="A36" s="9" t="str">
        <f aca="false">IF($B36="","",ROW()-5)</f>
        <v/>
      </c>
      <c r="B36" s="9" t="str">
        <f aca="false">IF('Daftar Affiliate'!B36="","",'Daftar Affiliate'!B36)</f>
        <v/>
      </c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11" t="str">
        <f aca="false">IF($B36="","",SUM($C36:$N36))</f>
        <v/>
      </c>
      <c r="P36" s="11" t="str">
        <f aca="false">IFERROR(IF($B36="","",AVERAGEIF($C36:$N36,"&gt;0")),"")</f>
        <v/>
      </c>
      <c r="Q36" s="9" t="str">
        <f aca="false">IFERROR(IF(SUM($C36:$N36)=0,"",INDEX($C$4:$N$4,MATCH(MAX($C36:$N36),$C36:$N36,0))),"")</f>
        <v/>
      </c>
    </row>
    <row r="37" customFormat="false" ht="15" hidden="false" customHeight="false" outlineLevel="0" collapsed="false">
      <c r="A37" s="9" t="str">
        <f aca="false">IF($B37="","",ROW()-5)</f>
        <v/>
      </c>
      <c r="B37" s="9" t="str">
        <f aca="false">IF('Daftar Affiliate'!B37="","",'Daftar Affiliate'!B37)</f>
        <v/>
      </c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11" t="str">
        <f aca="false">IF($B37="","",SUM($C37:$N37))</f>
        <v/>
      </c>
      <c r="P37" s="11" t="str">
        <f aca="false">IFERROR(IF($B37="","",AVERAGEIF($C37:$N37,"&gt;0")),"")</f>
        <v/>
      </c>
      <c r="Q37" s="9" t="str">
        <f aca="false">IFERROR(IF(SUM($C37:$N37)=0,"",INDEX($C$4:$N$4,MATCH(MAX($C37:$N37),$C37:$N37,0))),"")</f>
        <v/>
      </c>
    </row>
    <row r="38" customFormat="false" ht="15" hidden="false" customHeight="false" outlineLevel="0" collapsed="false">
      <c r="A38" s="9" t="str">
        <f aca="false">IF($B38="","",ROW()-5)</f>
        <v/>
      </c>
      <c r="B38" s="9" t="str">
        <f aca="false">IF('Daftar Affiliate'!B38="","",'Daftar Affiliate'!B38)</f>
        <v/>
      </c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11" t="str">
        <f aca="false">IF($B38="","",SUM($C38:$N38))</f>
        <v/>
      </c>
      <c r="P38" s="11" t="str">
        <f aca="false">IFERROR(IF($B38="","",AVERAGEIF($C38:$N38,"&gt;0")),"")</f>
        <v/>
      </c>
      <c r="Q38" s="9" t="str">
        <f aca="false">IFERROR(IF(SUM($C38:$N38)=0,"",INDEX($C$4:$N$4,MATCH(MAX($C38:$N38),$C38:$N38,0))),"")</f>
        <v/>
      </c>
    </row>
    <row r="39" customFormat="false" ht="15" hidden="false" customHeight="false" outlineLevel="0" collapsed="false">
      <c r="A39" s="9" t="str">
        <f aca="false">IF($B39="","",ROW()-5)</f>
        <v/>
      </c>
      <c r="B39" s="9" t="str">
        <f aca="false">IF('Daftar Affiliate'!B39="","",'Daftar Affiliate'!B39)</f>
        <v/>
      </c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11" t="str">
        <f aca="false">IF($B39="","",SUM($C39:$N39))</f>
        <v/>
      </c>
      <c r="P39" s="11" t="str">
        <f aca="false">IFERROR(IF($B39="","",AVERAGEIF($C39:$N39,"&gt;0")),"")</f>
        <v/>
      </c>
      <c r="Q39" s="9" t="str">
        <f aca="false">IFERROR(IF(SUM($C39:$N39)=0,"",INDEX($C$4:$N$4,MATCH(MAX($C39:$N39),$C39:$N39,0))),"")</f>
        <v/>
      </c>
    </row>
    <row r="40" customFormat="false" ht="15" hidden="false" customHeight="false" outlineLevel="0" collapsed="false">
      <c r="A40" s="9" t="str">
        <f aca="false">IF($B40="","",ROW()-5)</f>
        <v/>
      </c>
      <c r="B40" s="9" t="str">
        <f aca="false">IF('Daftar Affiliate'!B40="","",'Daftar Affiliate'!B40)</f>
        <v/>
      </c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11" t="str">
        <f aca="false">IF($B40="","",SUM($C40:$N40))</f>
        <v/>
      </c>
      <c r="P40" s="11" t="str">
        <f aca="false">IFERROR(IF($B40="","",AVERAGEIF($C40:$N40,"&gt;0")),"")</f>
        <v/>
      </c>
      <c r="Q40" s="9" t="str">
        <f aca="false">IFERROR(IF(SUM($C40:$N40)=0,"",INDEX($C$4:$N$4,MATCH(MAX($C40:$N40),$C40:$N40,0))),"")</f>
        <v/>
      </c>
    </row>
    <row r="41" customFormat="false" ht="15" hidden="false" customHeight="false" outlineLevel="0" collapsed="false">
      <c r="A41" s="9" t="str">
        <f aca="false">IF($B41="","",ROW()-5)</f>
        <v/>
      </c>
      <c r="B41" s="9" t="str">
        <f aca="false">IF('Daftar Affiliate'!B41="","",'Daftar Affiliate'!B41)</f>
        <v/>
      </c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11" t="str">
        <f aca="false">IF($B41="","",SUM($C41:$N41))</f>
        <v/>
      </c>
      <c r="P41" s="11" t="str">
        <f aca="false">IFERROR(IF($B41="","",AVERAGEIF($C41:$N41,"&gt;0")),"")</f>
        <v/>
      </c>
      <c r="Q41" s="9" t="str">
        <f aca="false">IFERROR(IF(SUM($C41:$N41)=0,"",INDEX($C$4:$N$4,MATCH(MAX($C41:$N41),$C41:$N41,0))),"")</f>
        <v/>
      </c>
    </row>
    <row r="42" customFormat="false" ht="15" hidden="false" customHeight="false" outlineLevel="0" collapsed="false">
      <c r="A42" s="9" t="str">
        <f aca="false">IF($B42="","",ROW()-5)</f>
        <v/>
      </c>
      <c r="B42" s="9" t="str">
        <f aca="false">IF('Daftar Affiliate'!B42="","",'Daftar Affiliate'!B42)</f>
        <v/>
      </c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11" t="str">
        <f aca="false">IF($B42="","",SUM($C42:$N42))</f>
        <v/>
      </c>
      <c r="P42" s="11" t="str">
        <f aca="false">IFERROR(IF($B42="","",AVERAGEIF($C42:$N42,"&gt;0")),"")</f>
        <v/>
      </c>
      <c r="Q42" s="9" t="str">
        <f aca="false">IFERROR(IF(SUM($C42:$N42)=0,"",INDEX($C$4:$N$4,MATCH(MAX($C42:$N42),$C42:$N42,0))),"")</f>
        <v/>
      </c>
    </row>
    <row r="43" customFormat="false" ht="15" hidden="false" customHeight="false" outlineLevel="0" collapsed="false">
      <c r="A43" s="9" t="str">
        <f aca="false">IF($B43="","",ROW()-5)</f>
        <v/>
      </c>
      <c r="B43" s="9" t="str">
        <f aca="false">IF('Daftar Affiliate'!B43="","",'Daftar Affiliate'!B43)</f>
        <v/>
      </c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11" t="str">
        <f aca="false">IF($B43="","",SUM($C43:$N43))</f>
        <v/>
      </c>
      <c r="P43" s="11" t="str">
        <f aca="false">IFERROR(IF($B43="","",AVERAGEIF($C43:$N43,"&gt;0")),"")</f>
        <v/>
      </c>
      <c r="Q43" s="9" t="str">
        <f aca="false">IFERROR(IF(SUM($C43:$N43)=0,"",INDEX($C$4:$N$4,MATCH(MAX($C43:$N43),$C43:$N43,0))),"")</f>
        <v/>
      </c>
    </row>
    <row r="44" customFormat="false" ht="15" hidden="false" customHeight="false" outlineLevel="0" collapsed="false">
      <c r="A44" s="9" t="str">
        <f aca="false">IF($B44="","",ROW()-5)</f>
        <v/>
      </c>
      <c r="B44" s="9" t="str">
        <f aca="false">IF('Daftar Affiliate'!B44="","",'Daftar Affiliate'!B44)</f>
        <v/>
      </c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11" t="str">
        <f aca="false">IF($B44="","",SUM($C44:$N44))</f>
        <v/>
      </c>
      <c r="P44" s="11" t="str">
        <f aca="false">IFERROR(IF($B44="","",AVERAGEIF($C44:$N44,"&gt;0")),"")</f>
        <v/>
      </c>
      <c r="Q44" s="9" t="str">
        <f aca="false">IFERROR(IF(SUM($C44:$N44)=0,"",INDEX($C$4:$N$4,MATCH(MAX($C44:$N44),$C44:$N44,0))),"")</f>
        <v/>
      </c>
    </row>
    <row r="45" customFormat="false" ht="15" hidden="false" customHeight="false" outlineLevel="0" collapsed="false">
      <c r="A45" s="9" t="str">
        <f aca="false">IF($B45="","",ROW()-5)</f>
        <v/>
      </c>
      <c r="B45" s="9" t="str">
        <f aca="false">IF('Daftar Affiliate'!B45="","",'Daftar Affiliate'!B45)</f>
        <v/>
      </c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11" t="str">
        <f aca="false">IF($B45="","",SUM($C45:$N45))</f>
        <v/>
      </c>
      <c r="P45" s="11" t="str">
        <f aca="false">IFERROR(IF($B45="","",AVERAGEIF($C45:$N45,"&gt;0")),"")</f>
        <v/>
      </c>
      <c r="Q45" s="9" t="str">
        <f aca="false">IFERROR(IF(SUM($C45:$N45)=0,"",INDEX($C$4:$N$4,MATCH(MAX($C45:$N45),$C45:$N45,0))),"")</f>
        <v/>
      </c>
    </row>
    <row r="46" customFormat="false" ht="15" hidden="false" customHeight="false" outlineLevel="0" collapsed="false">
      <c r="A46" s="9" t="str">
        <f aca="false">IF($B46="","",ROW()-5)</f>
        <v/>
      </c>
      <c r="B46" s="9" t="str">
        <f aca="false">IF('Daftar Affiliate'!B46="","",'Daftar Affiliate'!B46)</f>
        <v/>
      </c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11" t="str">
        <f aca="false">IF($B46="","",SUM($C46:$N46))</f>
        <v/>
      </c>
      <c r="P46" s="11" t="str">
        <f aca="false">IFERROR(IF($B46="","",AVERAGEIF($C46:$N46,"&gt;0")),"")</f>
        <v/>
      </c>
      <c r="Q46" s="9" t="str">
        <f aca="false">IFERROR(IF(SUM($C46:$N46)=0,"",INDEX($C$4:$N$4,MATCH(MAX($C46:$N46),$C46:$N46,0))),"")</f>
        <v/>
      </c>
    </row>
    <row r="47" customFormat="false" ht="15" hidden="false" customHeight="false" outlineLevel="0" collapsed="false">
      <c r="A47" s="9" t="str">
        <f aca="false">IF($B47="","",ROW()-5)</f>
        <v/>
      </c>
      <c r="B47" s="9" t="str">
        <f aca="false">IF('Daftar Affiliate'!B47="","",'Daftar Affiliate'!B47)</f>
        <v/>
      </c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11" t="str">
        <f aca="false">IF($B47="","",SUM($C47:$N47))</f>
        <v/>
      </c>
      <c r="P47" s="11" t="str">
        <f aca="false">IFERROR(IF($B47="","",AVERAGEIF($C47:$N47,"&gt;0")),"")</f>
        <v/>
      </c>
      <c r="Q47" s="9" t="str">
        <f aca="false">IFERROR(IF(SUM($C47:$N47)=0,"",INDEX($C$4:$N$4,MATCH(MAX($C47:$N47),$C47:$N47,0))),"")</f>
        <v/>
      </c>
    </row>
    <row r="48" customFormat="false" ht="15" hidden="false" customHeight="false" outlineLevel="0" collapsed="false">
      <c r="A48" s="9" t="str">
        <f aca="false">IF($B48="","",ROW()-5)</f>
        <v/>
      </c>
      <c r="B48" s="9" t="str">
        <f aca="false">IF('Daftar Affiliate'!B48="","",'Daftar Affiliate'!B48)</f>
        <v/>
      </c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11" t="str">
        <f aca="false">IF($B48="","",SUM($C48:$N48))</f>
        <v/>
      </c>
      <c r="P48" s="11" t="str">
        <f aca="false">IFERROR(IF($B48="","",AVERAGEIF($C48:$N48,"&gt;0")),"")</f>
        <v/>
      </c>
      <c r="Q48" s="9" t="str">
        <f aca="false">IFERROR(IF(SUM($C48:$N48)=0,"",INDEX($C$4:$N$4,MATCH(MAX($C48:$N48),$C48:$N48,0))),"")</f>
        <v/>
      </c>
    </row>
    <row r="49" customFormat="false" ht="15" hidden="false" customHeight="false" outlineLevel="0" collapsed="false">
      <c r="A49" s="9" t="str">
        <f aca="false">IF($B49="","",ROW()-5)</f>
        <v/>
      </c>
      <c r="B49" s="9" t="str">
        <f aca="false">IF('Daftar Affiliate'!B49="","",'Daftar Affiliate'!B49)</f>
        <v/>
      </c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11" t="str">
        <f aca="false">IF($B49="","",SUM($C49:$N49))</f>
        <v/>
      </c>
      <c r="P49" s="11" t="str">
        <f aca="false">IFERROR(IF($B49="","",AVERAGEIF($C49:$N49,"&gt;0")),"")</f>
        <v/>
      </c>
      <c r="Q49" s="9" t="str">
        <f aca="false">IFERROR(IF(SUM($C49:$N49)=0,"",INDEX($C$4:$N$4,MATCH(MAX($C49:$N49),$C49:$N49,0))),"")</f>
        <v/>
      </c>
    </row>
    <row r="50" customFormat="false" ht="15" hidden="false" customHeight="false" outlineLevel="0" collapsed="false">
      <c r="A50" s="9" t="str">
        <f aca="false">IF($B50="","",ROW()-5)</f>
        <v/>
      </c>
      <c r="B50" s="9" t="str">
        <f aca="false">IF('Daftar Affiliate'!B50="","",'Daftar Affiliate'!B50)</f>
        <v/>
      </c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11" t="str">
        <f aca="false">IF($B50="","",SUM($C50:$N50))</f>
        <v/>
      </c>
      <c r="P50" s="11" t="str">
        <f aca="false">IFERROR(IF($B50="","",AVERAGEIF($C50:$N50,"&gt;0")),"")</f>
        <v/>
      </c>
      <c r="Q50" s="9" t="str">
        <f aca="false">IFERROR(IF(SUM($C50:$N50)=0,"",INDEX($C$4:$N$4,MATCH(MAX($C50:$N50),$C50:$N50,0))),"")</f>
        <v/>
      </c>
    </row>
    <row r="51" customFormat="false" ht="15" hidden="false" customHeight="false" outlineLevel="0" collapsed="false">
      <c r="A51" s="9" t="str">
        <f aca="false">IF($B51="","",ROW()-5)</f>
        <v/>
      </c>
      <c r="B51" s="9" t="str">
        <f aca="false">IF('Daftar Affiliate'!B51="","",'Daftar Affiliate'!B51)</f>
        <v/>
      </c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11" t="str">
        <f aca="false">IF($B51="","",SUM($C51:$N51))</f>
        <v/>
      </c>
      <c r="P51" s="11" t="str">
        <f aca="false">IFERROR(IF($B51="","",AVERAGEIF($C51:$N51,"&gt;0")),"")</f>
        <v/>
      </c>
      <c r="Q51" s="9" t="str">
        <f aca="false">IFERROR(IF(SUM($C51:$N51)=0,"",INDEX($C$4:$N$4,MATCH(MAX($C51:$N51),$C51:$N51,0))),"")</f>
        <v/>
      </c>
    </row>
    <row r="52" customFormat="false" ht="15" hidden="false" customHeight="false" outlineLevel="0" collapsed="false">
      <c r="A52" s="9" t="str">
        <f aca="false">IF($B52="","",ROW()-5)</f>
        <v/>
      </c>
      <c r="B52" s="9" t="str">
        <f aca="false">IF('Daftar Affiliate'!B52="","",'Daftar Affiliate'!B52)</f>
        <v/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11" t="str">
        <f aca="false">IF($B52="","",SUM($C52:$N52))</f>
        <v/>
      </c>
      <c r="P52" s="11" t="str">
        <f aca="false">IFERROR(IF($B52="","",AVERAGEIF($C52:$N52,"&gt;0")),"")</f>
        <v/>
      </c>
      <c r="Q52" s="9" t="str">
        <f aca="false">IFERROR(IF(SUM($C52:$N52)=0,"",INDEX($C$4:$N$4,MATCH(MAX($C52:$N52),$C52:$N52,0))),"")</f>
        <v/>
      </c>
    </row>
    <row r="53" customFormat="false" ht="15" hidden="false" customHeight="false" outlineLevel="0" collapsed="false">
      <c r="A53" s="9" t="str">
        <f aca="false">IF($B53="","",ROW()-5)</f>
        <v/>
      </c>
      <c r="B53" s="9" t="str">
        <f aca="false">IF('Daftar Affiliate'!B53="","",'Daftar Affiliate'!B53)</f>
        <v/>
      </c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11" t="str">
        <f aca="false">IF($B53="","",SUM($C53:$N53))</f>
        <v/>
      </c>
      <c r="P53" s="11" t="str">
        <f aca="false">IFERROR(IF($B53="","",AVERAGEIF($C53:$N53,"&gt;0")),"")</f>
        <v/>
      </c>
      <c r="Q53" s="9" t="str">
        <f aca="false">IFERROR(IF(SUM($C53:$N53)=0,"",INDEX($C$4:$N$4,MATCH(MAX($C53:$N53),$C53:$N53,0))),"")</f>
        <v/>
      </c>
    </row>
    <row r="54" customFormat="false" ht="15" hidden="false" customHeight="false" outlineLevel="0" collapsed="false">
      <c r="A54" s="9" t="str">
        <f aca="false">IF($B54="","",ROW()-5)</f>
        <v/>
      </c>
      <c r="B54" s="9" t="str">
        <f aca="false">IF('Daftar Affiliate'!B54="","",'Daftar Affiliate'!B54)</f>
        <v/>
      </c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11" t="str">
        <f aca="false">IF($B54="","",SUM($C54:$N54))</f>
        <v/>
      </c>
      <c r="P54" s="11" t="str">
        <f aca="false">IFERROR(IF($B54="","",AVERAGEIF($C54:$N54,"&gt;0")),"")</f>
        <v/>
      </c>
      <c r="Q54" s="9" t="str">
        <f aca="false">IFERROR(IF(SUM($C54:$N54)=0,"",INDEX($C$4:$N$4,MATCH(MAX($C54:$N54),$C54:$N54,0))),"")</f>
        <v/>
      </c>
    </row>
    <row r="55" customFormat="false" ht="15" hidden="false" customHeight="false" outlineLevel="0" collapsed="false">
      <c r="A55" s="9" t="str">
        <f aca="false">IF($B55="","",ROW()-5)</f>
        <v/>
      </c>
      <c r="B55" s="9" t="str">
        <f aca="false">IF('Daftar Affiliate'!B55="","",'Daftar Affiliate'!B55)</f>
        <v/>
      </c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11" t="str">
        <f aca="false">IF($B55="","",SUM($C55:$N55))</f>
        <v/>
      </c>
      <c r="P55" s="11" t="str">
        <f aca="false">IFERROR(IF($B55="","",AVERAGEIF($C55:$N55,"&gt;0")),"")</f>
        <v/>
      </c>
      <c r="Q55" s="9" t="str">
        <f aca="false">IFERROR(IF(SUM($C55:$N55)=0,"",INDEX($C$4:$N$4,MATCH(MAX($C55:$N55),$C55:$N55,0))),"")</f>
        <v/>
      </c>
    </row>
    <row r="56" customFormat="false" ht="15" hidden="false" customHeight="false" outlineLevel="0" collapsed="false">
      <c r="A56" s="9" t="str">
        <f aca="false">IF($B56="","",ROW()-5)</f>
        <v/>
      </c>
      <c r="B56" s="9" t="str">
        <f aca="false">IF('Daftar Affiliate'!B56="","",'Daftar Affiliate'!B56)</f>
        <v/>
      </c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11" t="str">
        <f aca="false">IF($B56="","",SUM($C56:$N56))</f>
        <v/>
      </c>
      <c r="P56" s="11" t="str">
        <f aca="false">IFERROR(IF($B56="","",AVERAGEIF($C56:$N56,"&gt;0")),"")</f>
        <v/>
      </c>
      <c r="Q56" s="9" t="str">
        <f aca="false">IFERROR(IF(SUM($C56:$N56)=0,"",INDEX($C$4:$N$4,MATCH(MAX($C56:$N56),$C56:$N56,0))),"")</f>
        <v/>
      </c>
    </row>
    <row r="57" customFormat="false" ht="15" hidden="false" customHeight="false" outlineLevel="0" collapsed="false">
      <c r="A57" s="9" t="str">
        <f aca="false">IF($B57="","",ROW()-5)</f>
        <v/>
      </c>
      <c r="B57" s="9" t="str">
        <f aca="false">IF('Daftar Affiliate'!B57="","",'Daftar Affiliate'!B57)</f>
        <v/>
      </c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11" t="str">
        <f aca="false">IF($B57="","",SUM($C57:$N57))</f>
        <v/>
      </c>
      <c r="P57" s="11" t="str">
        <f aca="false">IFERROR(IF($B57="","",AVERAGEIF($C57:$N57,"&gt;0")),"")</f>
        <v/>
      </c>
      <c r="Q57" s="9" t="str">
        <f aca="false">IFERROR(IF(SUM($C57:$N57)=0,"",INDEX($C$4:$N$4,MATCH(MAX($C57:$N57),$C57:$N57,0))),"")</f>
        <v/>
      </c>
    </row>
    <row r="58" customFormat="false" ht="15" hidden="false" customHeight="false" outlineLevel="0" collapsed="false">
      <c r="A58" s="9" t="str">
        <f aca="false">IF($B58="","",ROW()-5)</f>
        <v/>
      </c>
      <c r="B58" s="9" t="str">
        <f aca="false">IF('Daftar Affiliate'!B58="","",'Daftar Affiliate'!B58)</f>
        <v/>
      </c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11" t="str">
        <f aca="false">IF($B58="","",SUM($C58:$N58))</f>
        <v/>
      </c>
      <c r="P58" s="11" t="str">
        <f aca="false">IFERROR(IF($B58="","",AVERAGEIF($C58:$N58,"&gt;0")),"")</f>
        <v/>
      </c>
      <c r="Q58" s="9" t="str">
        <f aca="false">IFERROR(IF(SUM($C58:$N58)=0,"",INDEX($C$4:$N$4,MATCH(MAX($C58:$N58),$C58:$N58,0))),"")</f>
        <v/>
      </c>
    </row>
    <row r="59" customFormat="false" ht="15" hidden="false" customHeight="false" outlineLevel="0" collapsed="false">
      <c r="A59" s="9" t="str">
        <f aca="false">IF($B59="","",ROW()-5)</f>
        <v/>
      </c>
      <c r="B59" s="9" t="str">
        <f aca="false">IF('Daftar Affiliate'!B59="","",'Daftar Affiliate'!B59)</f>
        <v/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11" t="str">
        <f aca="false">IF($B59="","",SUM($C59:$N59))</f>
        <v/>
      </c>
      <c r="P59" s="11" t="str">
        <f aca="false">IFERROR(IF($B59="","",AVERAGEIF($C59:$N59,"&gt;0")),"")</f>
        <v/>
      </c>
      <c r="Q59" s="9" t="str">
        <f aca="false">IFERROR(IF(SUM($C59:$N59)=0,"",INDEX($C$4:$N$4,MATCH(MAX($C59:$N59),$C59:$N59,0))),"")</f>
        <v/>
      </c>
    </row>
    <row r="60" customFormat="false" ht="15" hidden="false" customHeight="false" outlineLevel="0" collapsed="false">
      <c r="A60" s="9" t="str">
        <f aca="false">IF($B60="","",ROW()-5)</f>
        <v/>
      </c>
      <c r="B60" s="9" t="str">
        <f aca="false">IF('Daftar Affiliate'!B60="","",'Daftar Affiliate'!B60)</f>
        <v/>
      </c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11" t="str">
        <f aca="false">IF($B60="","",SUM($C60:$N60))</f>
        <v/>
      </c>
      <c r="P60" s="11" t="str">
        <f aca="false">IFERROR(IF($B60="","",AVERAGEIF($C60:$N60,"&gt;0")),"")</f>
        <v/>
      </c>
      <c r="Q60" s="9" t="str">
        <f aca="false">IFERROR(IF(SUM($C60:$N60)=0,"",INDEX($C$4:$N$4,MATCH(MAX($C60:$N60),$C60:$N60,0))),"")</f>
        <v/>
      </c>
    </row>
    <row r="61" customFormat="false" ht="15" hidden="false" customHeight="false" outlineLevel="0" collapsed="false">
      <c r="A61" s="9" t="str">
        <f aca="false">IF($B61="","",ROW()-5)</f>
        <v/>
      </c>
      <c r="B61" s="9" t="str">
        <f aca="false">IF('Daftar Affiliate'!B61="","",'Daftar Affiliate'!B61)</f>
        <v/>
      </c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11" t="str">
        <f aca="false">IF($B61="","",SUM($C61:$N61))</f>
        <v/>
      </c>
      <c r="P61" s="11" t="str">
        <f aca="false">IFERROR(IF($B61="","",AVERAGEIF($C61:$N61,"&gt;0")),"")</f>
        <v/>
      </c>
      <c r="Q61" s="9" t="str">
        <f aca="false">IFERROR(IF(SUM($C61:$N61)=0,"",INDEX($C$4:$N$4,MATCH(MAX($C61:$N61),$C61:$N61,0))),"")</f>
        <v/>
      </c>
    </row>
    <row r="62" customFormat="false" ht="15" hidden="false" customHeight="false" outlineLevel="0" collapsed="false">
      <c r="A62" s="9" t="str">
        <f aca="false">IF($B62="","",ROW()-5)</f>
        <v/>
      </c>
      <c r="B62" s="9" t="str">
        <f aca="false">IF('Daftar Affiliate'!B62="","",'Daftar Affiliate'!B62)</f>
        <v/>
      </c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11" t="str">
        <f aca="false">IF($B62="","",SUM($C62:$N62))</f>
        <v/>
      </c>
      <c r="P62" s="11" t="str">
        <f aca="false">IFERROR(IF($B62="","",AVERAGEIF($C62:$N62,"&gt;0")),"")</f>
        <v/>
      </c>
      <c r="Q62" s="9" t="str">
        <f aca="false">IFERROR(IF(SUM($C62:$N62)=0,"",INDEX($C$4:$N$4,MATCH(MAX($C62:$N62),$C62:$N62,0))),"")</f>
        <v/>
      </c>
    </row>
    <row r="63" customFormat="false" ht="15" hidden="false" customHeight="false" outlineLevel="0" collapsed="false">
      <c r="A63" s="9" t="str">
        <f aca="false">IF($B63="","",ROW()-5)</f>
        <v/>
      </c>
      <c r="B63" s="9" t="str">
        <f aca="false">IF('Daftar Affiliate'!B63="","",'Daftar Affiliate'!B63)</f>
        <v/>
      </c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11" t="str">
        <f aca="false">IF($B63="","",SUM($C63:$N63))</f>
        <v/>
      </c>
      <c r="P63" s="11" t="str">
        <f aca="false">IFERROR(IF($B63="","",AVERAGEIF($C63:$N63,"&gt;0")),"")</f>
        <v/>
      </c>
      <c r="Q63" s="9" t="str">
        <f aca="false">IFERROR(IF(SUM($C63:$N63)=0,"",INDEX($C$4:$N$4,MATCH(MAX($C63:$N63),$C63:$N63,0))),"")</f>
        <v/>
      </c>
    </row>
    <row r="64" customFormat="false" ht="15" hidden="false" customHeight="false" outlineLevel="0" collapsed="false">
      <c r="A64" s="9" t="str">
        <f aca="false">IF($B64="","",ROW()-5)</f>
        <v/>
      </c>
      <c r="B64" s="9" t="str">
        <f aca="false">IF('Daftar Affiliate'!B64="","",'Daftar Affiliate'!B64)</f>
        <v/>
      </c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11" t="str">
        <f aca="false">IF($B64="","",SUM($C64:$N64))</f>
        <v/>
      </c>
      <c r="P64" s="11" t="str">
        <f aca="false">IFERROR(IF($B64="","",AVERAGEIF($C64:$N64,"&gt;0")),"")</f>
        <v/>
      </c>
      <c r="Q64" s="9" t="str">
        <f aca="false">IFERROR(IF(SUM($C64:$N64)=0,"",INDEX($C$4:$N$4,MATCH(MAX($C64:$N64),$C64:$N64,0))),"")</f>
        <v/>
      </c>
    </row>
    <row r="65" customFormat="false" ht="15" hidden="false" customHeight="false" outlineLevel="0" collapsed="false">
      <c r="A65" s="9" t="str">
        <f aca="false">IF($B65="","",ROW()-5)</f>
        <v/>
      </c>
      <c r="B65" s="9" t="str">
        <f aca="false">IF('Daftar Affiliate'!B65="","",'Daftar Affiliate'!B65)</f>
        <v/>
      </c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11" t="str">
        <f aca="false">IF($B65="","",SUM($C65:$N65))</f>
        <v/>
      </c>
      <c r="P65" s="11" t="str">
        <f aca="false">IFERROR(IF($B65="","",AVERAGEIF($C65:$N65,"&gt;0")),"")</f>
        <v/>
      </c>
      <c r="Q65" s="9" t="str">
        <f aca="false">IFERROR(IF(SUM($C65:$N65)=0,"",INDEX($C$4:$N$4,MATCH(MAX($C65:$N65),$C65:$N65,0))),"")</f>
        <v/>
      </c>
    </row>
    <row r="66" customFormat="false" ht="15" hidden="false" customHeight="false" outlineLevel="0" collapsed="false">
      <c r="A66" s="9" t="str">
        <f aca="false">IF($B66="","",ROW()-5)</f>
        <v/>
      </c>
      <c r="B66" s="9" t="str">
        <f aca="false">IF('Daftar Affiliate'!B66="","",'Daftar Affiliate'!B66)</f>
        <v/>
      </c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11" t="str">
        <f aca="false">IF($B66="","",SUM($C66:$N66))</f>
        <v/>
      </c>
      <c r="P66" s="11" t="str">
        <f aca="false">IFERROR(IF($B66="","",AVERAGEIF($C66:$N66,"&gt;0")),"")</f>
        <v/>
      </c>
      <c r="Q66" s="9" t="str">
        <f aca="false">IFERROR(IF(SUM($C66:$N66)=0,"",INDEX($C$4:$N$4,MATCH(MAX($C66:$N66),$C66:$N66,0))),"")</f>
        <v/>
      </c>
    </row>
    <row r="67" customFormat="false" ht="15" hidden="false" customHeight="false" outlineLevel="0" collapsed="false">
      <c r="A67" s="9" t="str">
        <f aca="false">IF($B67="","",ROW()-5)</f>
        <v/>
      </c>
      <c r="B67" s="9" t="str">
        <f aca="false">IF('Daftar Affiliate'!B67="","",'Daftar Affiliate'!B67)</f>
        <v/>
      </c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11" t="str">
        <f aca="false">IF($B67="","",SUM($C67:$N67))</f>
        <v/>
      </c>
      <c r="P67" s="11" t="str">
        <f aca="false">IFERROR(IF($B67="","",AVERAGEIF($C67:$N67,"&gt;0")),"")</f>
        <v/>
      </c>
      <c r="Q67" s="9" t="str">
        <f aca="false">IFERROR(IF(SUM($C67:$N67)=0,"",INDEX($C$4:$N$4,MATCH(MAX($C67:$N67),$C67:$N67,0))),"")</f>
        <v/>
      </c>
    </row>
    <row r="68" customFormat="false" ht="15" hidden="false" customHeight="false" outlineLevel="0" collapsed="false">
      <c r="A68" s="9" t="str">
        <f aca="false">IF($B68="","",ROW()-5)</f>
        <v/>
      </c>
      <c r="B68" s="9" t="str">
        <f aca="false">IF('Daftar Affiliate'!B68="","",'Daftar Affiliate'!B68)</f>
        <v/>
      </c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11" t="str">
        <f aca="false">IF($B68="","",SUM($C68:$N68))</f>
        <v/>
      </c>
      <c r="P68" s="11" t="str">
        <f aca="false">IFERROR(IF($B68="","",AVERAGEIF($C68:$N68,"&gt;0")),"")</f>
        <v/>
      </c>
      <c r="Q68" s="9" t="str">
        <f aca="false">IFERROR(IF(SUM($C68:$N68)=0,"",INDEX($C$4:$N$4,MATCH(MAX($C68:$N68),$C68:$N68,0))),"")</f>
        <v/>
      </c>
    </row>
    <row r="69" customFormat="false" ht="15" hidden="false" customHeight="false" outlineLevel="0" collapsed="false">
      <c r="A69" s="9" t="str">
        <f aca="false">IF($B69="","",ROW()-5)</f>
        <v/>
      </c>
      <c r="B69" s="9" t="str">
        <f aca="false">IF('Daftar Affiliate'!B69="","",'Daftar Affiliate'!B69)</f>
        <v/>
      </c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11" t="str">
        <f aca="false">IF($B69="","",SUM($C69:$N69))</f>
        <v/>
      </c>
      <c r="P69" s="11" t="str">
        <f aca="false">IFERROR(IF($B69="","",AVERAGEIF($C69:$N69,"&gt;0")),"")</f>
        <v/>
      </c>
      <c r="Q69" s="9" t="str">
        <f aca="false">IFERROR(IF(SUM($C69:$N69)=0,"",INDEX($C$4:$N$4,MATCH(MAX($C69:$N69),$C69:$N69,0))),"")</f>
        <v/>
      </c>
    </row>
    <row r="70" customFormat="false" ht="15" hidden="false" customHeight="false" outlineLevel="0" collapsed="false">
      <c r="A70" s="9" t="str">
        <f aca="false">IF($B70="","",ROW()-5)</f>
        <v/>
      </c>
      <c r="B70" s="9" t="str">
        <f aca="false">IF('Daftar Affiliate'!B70="","",'Daftar Affiliate'!B70)</f>
        <v/>
      </c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11" t="str">
        <f aca="false">IF($B70="","",SUM($C70:$N70))</f>
        <v/>
      </c>
      <c r="P70" s="11" t="str">
        <f aca="false">IFERROR(IF($B70="","",AVERAGEIF($C70:$N70,"&gt;0")),"")</f>
        <v/>
      </c>
      <c r="Q70" s="9" t="str">
        <f aca="false">IFERROR(IF(SUM($C70:$N70)=0,"",INDEX($C$4:$N$4,MATCH(MAX($C70:$N70),$C70:$N70,0))),"")</f>
        <v/>
      </c>
    </row>
    <row r="71" customFormat="false" ht="15" hidden="false" customHeight="false" outlineLevel="0" collapsed="false">
      <c r="A71" s="9" t="str">
        <f aca="false">IF($B71="","",ROW()-5)</f>
        <v/>
      </c>
      <c r="B71" s="9" t="str">
        <f aca="false">IF('Daftar Affiliate'!B71="","",'Daftar Affiliate'!B71)</f>
        <v/>
      </c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11" t="str">
        <f aca="false">IF($B71="","",SUM($C71:$N71))</f>
        <v/>
      </c>
      <c r="P71" s="11" t="str">
        <f aca="false">IFERROR(IF($B71="","",AVERAGEIF($C71:$N71,"&gt;0")),"")</f>
        <v/>
      </c>
      <c r="Q71" s="9" t="str">
        <f aca="false">IFERROR(IF(SUM($C71:$N71)=0,"",INDEX($C$4:$N$4,MATCH(MAX($C71:$N71),$C71:$N71,0))),"")</f>
        <v/>
      </c>
    </row>
    <row r="72" customFormat="false" ht="15" hidden="false" customHeight="false" outlineLevel="0" collapsed="false">
      <c r="A72" s="9" t="str">
        <f aca="false">IF($B72="","",ROW()-5)</f>
        <v/>
      </c>
      <c r="B72" s="9" t="str">
        <f aca="false">IF('Daftar Affiliate'!B72="","",'Daftar Affiliate'!B72)</f>
        <v/>
      </c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11" t="str">
        <f aca="false">IF($B72="","",SUM($C72:$N72))</f>
        <v/>
      </c>
      <c r="P72" s="11" t="str">
        <f aca="false">IFERROR(IF($B72="","",AVERAGEIF($C72:$N72,"&gt;0")),"")</f>
        <v/>
      </c>
      <c r="Q72" s="9" t="str">
        <f aca="false">IFERROR(IF(SUM($C72:$N72)=0,"",INDEX($C$4:$N$4,MATCH(MAX($C72:$N72),$C72:$N72,0))),"")</f>
        <v/>
      </c>
    </row>
    <row r="73" customFormat="false" ht="15" hidden="false" customHeight="false" outlineLevel="0" collapsed="false">
      <c r="A73" s="9" t="str">
        <f aca="false">IF($B73="","",ROW()-5)</f>
        <v/>
      </c>
      <c r="B73" s="9" t="str">
        <f aca="false">IF('Daftar Affiliate'!B73="","",'Daftar Affiliate'!B73)</f>
        <v/>
      </c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11" t="str">
        <f aca="false">IF($B73="","",SUM($C73:$N73))</f>
        <v/>
      </c>
      <c r="P73" s="11" t="str">
        <f aca="false">IFERROR(IF($B73="","",AVERAGEIF($C73:$N73,"&gt;0")),"")</f>
        <v/>
      </c>
      <c r="Q73" s="9" t="str">
        <f aca="false">IFERROR(IF(SUM($C73:$N73)=0,"",INDEX($C$4:$N$4,MATCH(MAX($C73:$N73),$C73:$N73,0))),"")</f>
        <v/>
      </c>
    </row>
    <row r="74" customFormat="false" ht="15" hidden="false" customHeight="false" outlineLevel="0" collapsed="false">
      <c r="A74" s="9" t="str">
        <f aca="false">IF($B74="","",ROW()-5)</f>
        <v/>
      </c>
      <c r="B74" s="9" t="str">
        <f aca="false">IF('Daftar Affiliate'!B74="","",'Daftar Affiliate'!B74)</f>
        <v/>
      </c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11" t="str">
        <f aca="false">IF($B74="","",SUM($C74:$N74))</f>
        <v/>
      </c>
      <c r="P74" s="11" t="str">
        <f aca="false">IFERROR(IF($B74="","",AVERAGEIF($C74:$N74,"&gt;0")),"")</f>
        <v/>
      </c>
      <c r="Q74" s="9" t="str">
        <f aca="false">IFERROR(IF(SUM($C74:$N74)=0,"",INDEX($C$4:$N$4,MATCH(MAX($C74:$N74),$C74:$N74,0))),"")</f>
        <v/>
      </c>
    </row>
    <row r="75" customFormat="false" ht="15" hidden="false" customHeight="false" outlineLevel="0" collapsed="false">
      <c r="A75" s="9" t="str">
        <f aca="false">IF($B75="","",ROW()-5)</f>
        <v/>
      </c>
      <c r="B75" s="9" t="str">
        <f aca="false">IF('Daftar Affiliate'!B75="","",'Daftar Affiliate'!B75)</f>
        <v/>
      </c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11" t="str">
        <f aca="false">IF($B75="","",SUM($C75:$N75))</f>
        <v/>
      </c>
      <c r="P75" s="11" t="str">
        <f aca="false">IFERROR(IF($B75="","",AVERAGEIF($C75:$N75,"&gt;0")),"")</f>
        <v/>
      </c>
      <c r="Q75" s="9" t="str">
        <f aca="false">IFERROR(IF(SUM($C75:$N75)=0,"",INDEX($C$4:$N$4,MATCH(MAX($C75:$N75),$C75:$N75,0))),"")</f>
        <v/>
      </c>
    </row>
    <row r="76" customFormat="false" ht="15" hidden="false" customHeight="false" outlineLevel="0" collapsed="false">
      <c r="A76" s="9" t="str">
        <f aca="false">IF($B76="","",ROW()-5)</f>
        <v/>
      </c>
      <c r="B76" s="9" t="str">
        <f aca="false">IF('Daftar Affiliate'!B76="","",'Daftar Affiliate'!B76)</f>
        <v/>
      </c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11" t="str">
        <f aca="false">IF($B76="","",SUM($C76:$N76))</f>
        <v/>
      </c>
      <c r="P76" s="11" t="str">
        <f aca="false">IFERROR(IF($B76="","",AVERAGEIF($C76:$N76,"&gt;0")),"")</f>
        <v/>
      </c>
      <c r="Q76" s="9" t="str">
        <f aca="false">IFERROR(IF(SUM($C76:$N76)=0,"",INDEX($C$4:$N$4,MATCH(MAX($C76:$N76),$C76:$N76,0))),"")</f>
        <v/>
      </c>
    </row>
    <row r="77" customFormat="false" ht="15" hidden="false" customHeight="false" outlineLevel="0" collapsed="false">
      <c r="A77" s="9" t="str">
        <f aca="false">IF($B77="","",ROW()-5)</f>
        <v/>
      </c>
      <c r="B77" s="9" t="str">
        <f aca="false">IF('Daftar Affiliate'!B77="","",'Daftar Affiliate'!B77)</f>
        <v/>
      </c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11" t="str">
        <f aca="false">IF($B77="","",SUM($C77:$N77))</f>
        <v/>
      </c>
      <c r="P77" s="11" t="str">
        <f aca="false">IFERROR(IF($B77="","",AVERAGEIF($C77:$N77,"&gt;0")),"")</f>
        <v/>
      </c>
      <c r="Q77" s="9" t="str">
        <f aca="false">IFERROR(IF(SUM($C77:$N77)=0,"",INDEX($C$4:$N$4,MATCH(MAX($C77:$N77),$C77:$N77,0))),"")</f>
        <v/>
      </c>
    </row>
    <row r="78" customFormat="false" ht="15" hidden="false" customHeight="false" outlineLevel="0" collapsed="false">
      <c r="A78" s="9" t="str">
        <f aca="false">IF($B78="","",ROW()-5)</f>
        <v/>
      </c>
      <c r="B78" s="9" t="str">
        <f aca="false">IF('Daftar Affiliate'!B78="","",'Daftar Affiliate'!B78)</f>
        <v/>
      </c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11" t="str">
        <f aca="false">IF($B78="","",SUM($C78:$N78))</f>
        <v/>
      </c>
      <c r="P78" s="11" t="str">
        <f aca="false">IFERROR(IF($B78="","",AVERAGEIF($C78:$N78,"&gt;0")),"")</f>
        <v/>
      </c>
      <c r="Q78" s="9" t="str">
        <f aca="false">IFERROR(IF(SUM($C78:$N78)=0,"",INDEX($C$4:$N$4,MATCH(MAX($C78:$N78),$C78:$N78,0))),"")</f>
        <v/>
      </c>
    </row>
    <row r="79" customFormat="false" ht="15" hidden="false" customHeight="false" outlineLevel="0" collapsed="false">
      <c r="A79" s="9" t="str">
        <f aca="false">IF($B79="","",ROW()-5)</f>
        <v/>
      </c>
      <c r="B79" s="9" t="str">
        <f aca="false">IF('Daftar Affiliate'!B79="","",'Daftar Affiliate'!B79)</f>
        <v/>
      </c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11" t="str">
        <f aca="false">IF($B79="","",SUM($C79:$N79))</f>
        <v/>
      </c>
      <c r="P79" s="11" t="str">
        <f aca="false">IFERROR(IF($B79="","",AVERAGEIF($C79:$N79,"&gt;0")),"")</f>
        <v/>
      </c>
      <c r="Q79" s="9" t="str">
        <f aca="false">IFERROR(IF(SUM($C79:$N79)=0,"",INDEX($C$4:$N$4,MATCH(MAX($C79:$N79),$C79:$N79,0))),"")</f>
        <v/>
      </c>
    </row>
    <row r="80" customFormat="false" ht="15" hidden="false" customHeight="false" outlineLevel="0" collapsed="false">
      <c r="A80" s="9" t="str">
        <f aca="false">IF($B80="","",ROW()-5)</f>
        <v/>
      </c>
      <c r="B80" s="9" t="str">
        <f aca="false">IF('Daftar Affiliate'!B80="","",'Daftar Affiliate'!B80)</f>
        <v/>
      </c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11" t="str">
        <f aca="false">IF($B80="","",SUM($C80:$N80))</f>
        <v/>
      </c>
      <c r="P80" s="11" t="str">
        <f aca="false">IFERROR(IF($B80="","",AVERAGEIF($C80:$N80,"&gt;0")),"")</f>
        <v/>
      </c>
      <c r="Q80" s="9" t="str">
        <f aca="false">IFERROR(IF(SUM($C80:$N80)=0,"",INDEX($C$4:$N$4,MATCH(MAX($C80:$N80),$C80:$N80,0))),"")</f>
        <v/>
      </c>
    </row>
    <row r="81" customFormat="false" ht="15" hidden="false" customHeight="false" outlineLevel="0" collapsed="false">
      <c r="A81" s="9" t="str">
        <f aca="false">IF($B81="","",ROW()-5)</f>
        <v/>
      </c>
      <c r="B81" s="9" t="str">
        <f aca="false">IF('Daftar Affiliate'!B81="","",'Daftar Affiliate'!B81)</f>
        <v/>
      </c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11" t="str">
        <f aca="false">IF($B81="","",SUM($C81:$N81))</f>
        <v/>
      </c>
      <c r="P81" s="11" t="str">
        <f aca="false">IFERROR(IF($B81="","",AVERAGEIF($C81:$N81,"&gt;0")),"")</f>
        <v/>
      </c>
      <c r="Q81" s="9" t="str">
        <f aca="false">IFERROR(IF(SUM($C81:$N81)=0,"",INDEX($C$4:$N$4,MATCH(MAX($C81:$N81),$C81:$N81,0))),"")</f>
        <v/>
      </c>
    </row>
    <row r="82" customFormat="false" ht="15" hidden="false" customHeight="false" outlineLevel="0" collapsed="false">
      <c r="A82" s="9" t="str">
        <f aca="false">IF($B82="","",ROW()-5)</f>
        <v/>
      </c>
      <c r="B82" s="9" t="str">
        <f aca="false">IF('Daftar Affiliate'!B82="","",'Daftar Affiliate'!B82)</f>
        <v/>
      </c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11" t="str">
        <f aca="false">IF($B82="","",SUM($C82:$N82))</f>
        <v/>
      </c>
      <c r="P82" s="11" t="str">
        <f aca="false">IFERROR(IF($B82="","",AVERAGEIF($C82:$N82,"&gt;0")),"")</f>
        <v/>
      </c>
      <c r="Q82" s="9" t="str">
        <f aca="false">IFERROR(IF(SUM($C82:$N82)=0,"",INDEX($C$4:$N$4,MATCH(MAX($C82:$N82),$C82:$N82,0))),"")</f>
        <v/>
      </c>
    </row>
    <row r="83" customFormat="false" ht="15" hidden="false" customHeight="false" outlineLevel="0" collapsed="false">
      <c r="A83" s="9" t="str">
        <f aca="false">IF($B83="","",ROW()-5)</f>
        <v/>
      </c>
      <c r="B83" s="9" t="str">
        <f aca="false">IF('Daftar Affiliate'!B83="","",'Daftar Affiliate'!B83)</f>
        <v/>
      </c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11" t="str">
        <f aca="false">IF($B83="","",SUM($C83:$N83))</f>
        <v/>
      </c>
      <c r="P83" s="11" t="str">
        <f aca="false">IFERROR(IF($B83="","",AVERAGEIF($C83:$N83,"&gt;0")),"")</f>
        <v/>
      </c>
      <c r="Q83" s="9" t="str">
        <f aca="false">IFERROR(IF(SUM($C83:$N83)=0,"",INDEX($C$4:$N$4,MATCH(MAX($C83:$N83),$C83:$N83,0))),"")</f>
        <v/>
      </c>
    </row>
    <row r="84" customFormat="false" ht="15" hidden="false" customHeight="false" outlineLevel="0" collapsed="false">
      <c r="A84" s="9" t="str">
        <f aca="false">IF($B84="","",ROW()-5)</f>
        <v/>
      </c>
      <c r="B84" s="9" t="str">
        <f aca="false">IF('Daftar Affiliate'!B84="","",'Daftar Affiliate'!B84)</f>
        <v/>
      </c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11" t="str">
        <f aca="false">IF($B84="","",SUM($C84:$N84))</f>
        <v/>
      </c>
      <c r="P84" s="11" t="str">
        <f aca="false">IFERROR(IF($B84="","",AVERAGEIF($C84:$N84,"&gt;0")),"")</f>
        <v/>
      </c>
      <c r="Q84" s="9" t="str">
        <f aca="false">IFERROR(IF(SUM($C84:$N84)=0,"",INDEX($C$4:$N$4,MATCH(MAX($C84:$N84),$C84:$N84,0))),"")</f>
        <v/>
      </c>
    </row>
    <row r="85" customFormat="false" ht="15" hidden="false" customHeight="false" outlineLevel="0" collapsed="false">
      <c r="A85" s="9" t="str">
        <f aca="false">IF($B85="","",ROW()-5)</f>
        <v/>
      </c>
      <c r="B85" s="9" t="str">
        <f aca="false">IF('Daftar Affiliate'!B85="","",'Daftar Affiliate'!B85)</f>
        <v/>
      </c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11" t="str">
        <f aca="false">IF($B85="","",SUM($C85:$N85))</f>
        <v/>
      </c>
      <c r="P85" s="11" t="str">
        <f aca="false">IFERROR(IF($B85="","",AVERAGEIF($C85:$N85,"&gt;0")),"")</f>
        <v/>
      </c>
      <c r="Q85" s="9" t="str">
        <f aca="false">IFERROR(IF(SUM($C85:$N85)=0,"",INDEX($C$4:$N$4,MATCH(MAX($C85:$N85),$C85:$N85,0))),"")</f>
        <v/>
      </c>
    </row>
    <row r="86" customFormat="false" ht="15" hidden="false" customHeight="false" outlineLevel="0" collapsed="false">
      <c r="A86" s="9" t="str">
        <f aca="false">IF($B86="","",ROW()-5)</f>
        <v/>
      </c>
      <c r="B86" s="9" t="str">
        <f aca="false">IF('Daftar Affiliate'!B86="","",'Daftar Affiliate'!B86)</f>
        <v/>
      </c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11" t="str">
        <f aca="false">IF($B86="","",SUM($C86:$N86))</f>
        <v/>
      </c>
      <c r="P86" s="11" t="str">
        <f aca="false">IFERROR(IF($B86="","",AVERAGEIF($C86:$N86,"&gt;0")),"")</f>
        <v/>
      </c>
      <c r="Q86" s="9" t="str">
        <f aca="false">IFERROR(IF(SUM($C86:$N86)=0,"",INDEX($C$4:$N$4,MATCH(MAX($C86:$N86),$C86:$N86,0))),"")</f>
        <v/>
      </c>
    </row>
    <row r="87" customFormat="false" ht="15" hidden="false" customHeight="false" outlineLevel="0" collapsed="false">
      <c r="A87" s="9" t="str">
        <f aca="false">IF($B87="","",ROW()-5)</f>
        <v/>
      </c>
      <c r="B87" s="9" t="str">
        <f aca="false">IF('Daftar Affiliate'!B87="","",'Daftar Affiliate'!B87)</f>
        <v/>
      </c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11" t="str">
        <f aca="false">IF($B87="","",SUM($C87:$N87))</f>
        <v/>
      </c>
      <c r="P87" s="11" t="str">
        <f aca="false">IFERROR(IF($B87="","",AVERAGEIF($C87:$N87,"&gt;0")),"")</f>
        <v/>
      </c>
      <c r="Q87" s="9" t="str">
        <f aca="false">IFERROR(IF(SUM($C87:$N87)=0,"",INDEX($C$4:$N$4,MATCH(MAX($C87:$N87),$C87:$N87,0))),"")</f>
        <v/>
      </c>
    </row>
    <row r="88" customFormat="false" ht="15" hidden="false" customHeight="false" outlineLevel="0" collapsed="false">
      <c r="A88" s="9" t="str">
        <f aca="false">IF($B88="","",ROW()-5)</f>
        <v/>
      </c>
      <c r="B88" s="9" t="str">
        <f aca="false">IF('Daftar Affiliate'!B88="","",'Daftar Affiliate'!B88)</f>
        <v/>
      </c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11" t="str">
        <f aca="false">IF($B88="","",SUM($C88:$N88))</f>
        <v/>
      </c>
      <c r="P88" s="11" t="str">
        <f aca="false">IFERROR(IF($B88="","",AVERAGEIF($C88:$N88,"&gt;0")),"")</f>
        <v/>
      </c>
      <c r="Q88" s="9" t="str">
        <f aca="false">IFERROR(IF(SUM($C88:$N88)=0,"",INDEX($C$4:$N$4,MATCH(MAX($C88:$N88),$C88:$N88,0))),"")</f>
        <v/>
      </c>
    </row>
    <row r="89" customFormat="false" ht="15" hidden="false" customHeight="false" outlineLevel="0" collapsed="false">
      <c r="A89" s="9" t="str">
        <f aca="false">IF($B89="","",ROW()-5)</f>
        <v/>
      </c>
      <c r="B89" s="9" t="str">
        <f aca="false">IF('Daftar Affiliate'!B89="","",'Daftar Affiliate'!B89)</f>
        <v/>
      </c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11" t="str">
        <f aca="false">IF($B89="","",SUM($C89:$N89))</f>
        <v/>
      </c>
      <c r="P89" s="11" t="str">
        <f aca="false">IFERROR(IF($B89="","",AVERAGEIF($C89:$N89,"&gt;0")),"")</f>
        <v/>
      </c>
      <c r="Q89" s="9" t="str">
        <f aca="false">IFERROR(IF(SUM($C89:$N89)=0,"",INDEX($C$4:$N$4,MATCH(MAX($C89:$N89),$C89:$N89,0))),"")</f>
        <v/>
      </c>
    </row>
    <row r="90" customFormat="false" ht="15" hidden="false" customHeight="false" outlineLevel="0" collapsed="false">
      <c r="A90" s="9" t="str">
        <f aca="false">IF($B90="","",ROW()-5)</f>
        <v/>
      </c>
      <c r="B90" s="9" t="str">
        <f aca="false">IF('Daftar Affiliate'!B90="","",'Daftar Affiliate'!B90)</f>
        <v/>
      </c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11" t="str">
        <f aca="false">IF($B90="","",SUM($C90:$N90))</f>
        <v/>
      </c>
      <c r="P90" s="11" t="str">
        <f aca="false">IFERROR(IF($B90="","",AVERAGEIF($C90:$N90,"&gt;0")),"")</f>
        <v/>
      </c>
      <c r="Q90" s="9" t="str">
        <f aca="false">IFERROR(IF(SUM($C90:$N90)=0,"",INDEX($C$4:$N$4,MATCH(MAX($C90:$N90),$C90:$N90,0))),"")</f>
        <v/>
      </c>
    </row>
    <row r="91" customFormat="false" ht="15" hidden="false" customHeight="false" outlineLevel="0" collapsed="false">
      <c r="A91" s="9" t="str">
        <f aca="false">IF($B91="","",ROW()-5)</f>
        <v/>
      </c>
      <c r="B91" s="9" t="str">
        <f aca="false">IF('Daftar Affiliate'!B91="","",'Daftar Affiliate'!B91)</f>
        <v/>
      </c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11" t="str">
        <f aca="false">IF($B91="","",SUM($C91:$N91))</f>
        <v/>
      </c>
      <c r="P91" s="11" t="str">
        <f aca="false">IFERROR(IF($B91="","",AVERAGEIF($C91:$N91,"&gt;0")),"")</f>
        <v/>
      </c>
      <c r="Q91" s="9" t="str">
        <f aca="false">IFERROR(IF(SUM($C91:$N91)=0,"",INDEX($C$4:$N$4,MATCH(MAX($C91:$N91),$C91:$N91,0))),"")</f>
        <v/>
      </c>
    </row>
    <row r="92" customFormat="false" ht="15" hidden="false" customHeight="false" outlineLevel="0" collapsed="false">
      <c r="A92" s="9" t="str">
        <f aca="false">IF($B92="","",ROW()-5)</f>
        <v/>
      </c>
      <c r="B92" s="9" t="str">
        <f aca="false">IF('Daftar Affiliate'!B92="","",'Daftar Affiliate'!B92)</f>
        <v/>
      </c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11" t="str">
        <f aca="false">IF($B92="","",SUM($C92:$N92))</f>
        <v/>
      </c>
      <c r="P92" s="11" t="str">
        <f aca="false">IFERROR(IF($B92="","",AVERAGEIF($C92:$N92,"&gt;0")),"")</f>
        <v/>
      </c>
      <c r="Q92" s="9" t="str">
        <f aca="false">IFERROR(IF(SUM($C92:$N92)=0,"",INDEX($C$4:$N$4,MATCH(MAX($C92:$N92),$C92:$N92,0))),"")</f>
        <v/>
      </c>
    </row>
    <row r="93" customFormat="false" ht="15" hidden="false" customHeight="false" outlineLevel="0" collapsed="false">
      <c r="A93" s="9" t="str">
        <f aca="false">IF($B93="","",ROW()-5)</f>
        <v/>
      </c>
      <c r="B93" s="9" t="str">
        <f aca="false">IF('Daftar Affiliate'!B93="","",'Daftar Affiliate'!B93)</f>
        <v/>
      </c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11" t="str">
        <f aca="false">IF($B93="","",SUM($C93:$N93))</f>
        <v/>
      </c>
      <c r="P93" s="11" t="str">
        <f aca="false">IFERROR(IF($B93="","",AVERAGEIF($C93:$N93,"&gt;0")),"")</f>
        <v/>
      </c>
      <c r="Q93" s="9" t="str">
        <f aca="false">IFERROR(IF(SUM($C93:$N93)=0,"",INDEX($C$4:$N$4,MATCH(MAX($C93:$N93),$C93:$N93,0))),"")</f>
        <v/>
      </c>
    </row>
    <row r="94" customFormat="false" ht="15" hidden="false" customHeight="false" outlineLevel="0" collapsed="false">
      <c r="A94" s="9" t="str">
        <f aca="false">IF($B94="","",ROW()-5)</f>
        <v/>
      </c>
      <c r="B94" s="9" t="str">
        <f aca="false">IF('Daftar Affiliate'!B94="","",'Daftar Affiliate'!B94)</f>
        <v/>
      </c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11" t="str">
        <f aca="false">IF($B94="","",SUM($C94:$N94))</f>
        <v/>
      </c>
      <c r="P94" s="11" t="str">
        <f aca="false">IFERROR(IF($B94="","",AVERAGEIF($C94:$N94,"&gt;0")),"")</f>
        <v/>
      </c>
      <c r="Q94" s="9" t="str">
        <f aca="false">IFERROR(IF(SUM($C94:$N94)=0,"",INDEX($C$4:$N$4,MATCH(MAX($C94:$N94),$C94:$N94,0))),"")</f>
        <v/>
      </c>
    </row>
    <row r="95" customFormat="false" ht="15" hidden="false" customHeight="false" outlineLevel="0" collapsed="false">
      <c r="A95" s="9" t="str">
        <f aca="false">IF($B95="","",ROW()-5)</f>
        <v/>
      </c>
      <c r="B95" s="9" t="str">
        <f aca="false">IF('Daftar Affiliate'!B95="","",'Daftar Affiliate'!B95)</f>
        <v/>
      </c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11" t="str">
        <f aca="false">IF($B95="","",SUM($C95:$N95))</f>
        <v/>
      </c>
      <c r="P95" s="11" t="str">
        <f aca="false">IFERROR(IF($B95="","",AVERAGEIF($C95:$N95,"&gt;0")),"")</f>
        <v/>
      </c>
      <c r="Q95" s="9" t="str">
        <f aca="false">IFERROR(IF(SUM($C95:$N95)=0,"",INDEX($C$4:$N$4,MATCH(MAX($C95:$N95),$C95:$N95,0))),"")</f>
        <v/>
      </c>
    </row>
    <row r="96" customFormat="false" ht="15" hidden="false" customHeight="false" outlineLevel="0" collapsed="false">
      <c r="A96" s="9" t="str">
        <f aca="false">IF($B96="","",ROW()-5)</f>
        <v/>
      </c>
      <c r="B96" s="9" t="str">
        <f aca="false">IF('Daftar Affiliate'!B96="","",'Daftar Affiliate'!B96)</f>
        <v/>
      </c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11" t="str">
        <f aca="false">IF($B96="","",SUM($C96:$N96))</f>
        <v/>
      </c>
      <c r="P96" s="11" t="str">
        <f aca="false">IFERROR(IF($B96="","",AVERAGEIF($C96:$N96,"&gt;0")),"")</f>
        <v/>
      </c>
      <c r="Q96" s="9" t="str">
        <f aca="false">IFERROR(IF(SUM($C96:$N96)=0,"",INDEX($C$4:$N$4,MATCH(MAX($C96:$N96),$C96:$N96,0))),"")</f>
        <v/>
      </c>
    </row>
    <row r="97" customFormat="false" ht="15" hidden="false" customHeight="false" outlineLevel="0" collapsed="false">
      <c r="A97" s="9" t="str">
        <f aca="false">IF($B97="","",ROW()-5)</f>
        <v/>
      </c>
      <c r="B97" s="9" t="str">
        <f aca="false">IF('Daftar Affiliate'!B97="","",'Daftar Affiliate'!B97)</f>
        <v/>
      </c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11" t="str">
        <f aca="false">IF($B97="","",SUM($C97:$N97))</f>
        <v/>
      </c>
      <c r="P97" s="11" t="str">
        <f aca="false">IFERROR(IF($B97="","",AVERAGEIF($C97:$N97,"&gt;0")),"")</f>
        <v/>
      </c>
      <c r="Q97" s="9" t="str">
        <f aca="false">IFERROR(IF(SUM($C97:$N97)=0,"",INDEX($C$4:$N$4,MATCH(MAX($C97:$N97),$C97:$N97,0))),"")</f>
        <v/>
      </c>
    </row>
    <row r="98" customFormat="false" ht="15" hidden="false" customHeight="false" outlineLevel="0" collapsed="false">
      <c r="A98" s="9" t="str">
        <f aca="false">IF($B98="","",ROW()-5)</f>
        <v/>
      </c>
      <c r="B98" s="9" t="str">
        <f aca="false">IF('Daftar Affiliate'!B98="","",'Daftar Affiliate'!B98)</f>
        <v/>
      </c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11" t="str">
        <f aca="false">IF($B98="","",SUM($C98:$N98))</f>
        <v/>
      </c>
      <c r="P98" s="11" t="str">
        <f aca="false">IFERROR(IF($B98="","",AVERAGEIF($C98:$N98,"&gt;0")),"")</f>
        <v/>
      </c>
      <c r="Q98" s="9" t="str">
        <f aca="false">IFERROR(IF(SUM($C98:$N98)=0,"",INDEX($C$4:$N$4,MATCH(MAX($C98:$N98),$C98:$N98,0))),"")</f>
        <v/>
      </c>
    </row>
    <row r="99" customFormat="false" ht="15" hidden="false" customHeight="false" outlineLevel="0" collapsed="false">
      <c r="A99" s="9" t="str">
        <f aca="false">IF($B99="","",ROW()-5)</f>
        <v/>
      </c>
      <c r="B99" s="9" t="str">
        <f aca="false">IF('Daftar Affiliate'!B99="","",'Daftar Affiliate'!B99)</f>
        <v/>
      </c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11" t="str">
        <f aca="false">IF($B99="","",SUM($C99:$N99))</f>
        <v/>
      </c>
      <c r="P99" s="11" t="str">
        <f aca="false">IFERROR(IF($B99="","",AVERAGEIF($C99:$N99,"&gt;0")),"")</f>
        <v/>
      </c>
      <c r="Q99" s="9" t="str">
        <f aca="false">IFERROR(IF(SUM($C99:$N99)=0,"",INDEX($C$4:$N$4,MATCH(MAX($C99:$N99),$C99:$N99,0))),"")</f>
        <v/>
      </c>
    </row>
    <row r="100" customFormat="false" ht="15" hidden="false" customHeight="false" outlineLevel="0" collapsed="false">
      <c r="A100" s="9" t="str">
        <f aca="false">IF($B100="","",ROW()-5)</f>
        <v/>
      </c>
      <c r="B100" s="9" t="str">
        <f aca="false">IF('Daftar Affiliate'!B100="","",'Daftar Affiliate'!B100)</f>
        <v/>
      </c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11" t="str">
        <f aca="false">IF($B100="","",SUM($C100:$N100))</f>
        <v/>
      </c>
      <c r="P100" s="11" t="str">
        <f aca="false">IFERROR(IF($B100="","",AVERAGEIF($C100:$N100,"&gt;0")),"")</f>
        <v/>
      </c>
      <c r="Q100" s="9" t="str">
        <f aca="false">IFERROR(IF(SUM($C100:$N100)=0,"",INDEX($C$4:$N$4,MATCH(MAX($C100:$N100),$C100:$N100,0))),"")</f>
        <v/>
      </c>
    </row>
    <row r="101" customFormat="false" ht="15" hidden="false" customHeight="false" outlineLevel="0" collapsed="false">
      <c r="A101" s="9" t="str">
        <f aca="false">IF($B101="","",ROW()-5)</f>
        <v/>
      </c>
      <c r="B101" s="9" t="str">
        <f aca="false">IF('Daftar Affiliate'!B101="","",'Daftar Affiliate'!B101)</f>
        <v/>
      </c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11" t="str">
        <f aca="false">IF($B101="","",SUM($C101:$N101))</f>
        <v/>
      </c>
      <c r="P101" s="11" t="str">
        <f aca="false">IFERROR(IF($B101="","",AVERAGEIF($C101:$N101,"&gt;0")),"")</f>
        <v/>
      </c>
      <c r="Q101" s="9" t="str">
        <f aca="false">IFERROR(IF(SUM($C101:$N101)=0,"",INDEX($C$4:$N$4,MATCH(MAX($C101:$N101),$C101:$N101,0))),"")</f>
        <v/>
      </c>
    </row>
    <row r="102" customFormat="false" ht="15" hidden="false" customHeight="false" outlineLevel="0" collapsed="false">
      <c r="A102" s="9" t="str">
        <f aca="false">IF($B102="","",ROW()-5)</f>
        <v/>
      </c>
      <c r="B102" s="9" t="str">
        <f aca="false">IF('Daftar Affiliate'!B102="","",'Daftar Affiliate'!B102)</f>
        <v/>
      </c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11" t="str">
        <f aca="false">IF($B102="","",SUM($C102:$N102))</f>
        <v/>
      </c>
      <c r="P102" s="11" t="str">
        <f aca="false">IFERROR(IF($B102="","",AVERAGEIF($C102:$N102,"&gt;0")),"")</f>
        <v/>
      </c>
      <c r="Q102" s="9" t="str">
        <f aca="false">IFERROR(IF(SUM($C102:$N102)=0,"",INDEX($C$4:$N$4,MATCH(MAX($C102:$N102),$C102:$N102,0))),"")</f>
        <v/>
      </c>
    </row>
    <row r="103" customFormat="false" ht="15" hidden="false" customHeight="false" outlineLevel="0" collapsed="false">
      <c r="A103" s="9" t="str">
        <f aca="false">IF($B103="","",ROW()-5)</f>
        <v/>
      </c>
      <c r="B103" s="9" t="str">
        <f aca="false">IF('Daftar Affiliate'!B103="","",'Daftar Affiliate'!B103)</f>
        <v/>
      </c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11" t="str">
        <f aca="false">IF($B103="","",SUM($C103:$N103))</f>
        <v/>
      </c>
      <c r="P103" s="11" t="str">
        <f aca="false">IFERROR(IF($B103="","",AVERAGEIF($C103:$N103,"&gt;0")),"")</f>
        <v/>
      </c>
      <c r="Q103" s="9" t="str">
        <f aca="false">IFERROR(IF(SUM($C103:$N103)=0,"",INDEX($C$4:$N$4,MATCH(MAX($C103:$N103),$C103:$N103,0))),"")</f>
        <v/>
      </c>
    </row>
    <row r="104" customFormat="false" ht="15" hidden="false" customHeight="false" outlineLevel="0" collapsed="false">
      <c r="A104" s="9" t="str">
        <f aca="false">IF($B104="","",ROW()-5)</f>
        <v/>
      </c>
      <c r="B104" s="9" t="str">
        <f aca="false">IF('Daftar Affiliate'!B104="","",'Daftar Affiliate'!B104)</f>
        <v/>
      </c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11" t="str">
        <f aca="false">IF($B104="","",SUM($C104:$N104))</f>
        <v/>
      </c>
      <c r="P104" s="11" t="str">
        <f aca="false">IFERROR(IF($B104="","",AVERAGEIF($C104:$N104,"&gt;0")),"")</f>
        <v/>
      </c>
      <c r="Q104" s="9" t="str">
        <f aca="false">IFERROR(IF(SUM($C104:$N104)=0,"",INDEX($C$4:$N$4,MATCH(MAX($C104:$N104),$C104:$N104,0))),"")</f>
        <v/>
      </c>
    </row>
    <row r="105" customFormat="false" ht="15" hidden="false" customHeight="false" outlineLevel="0" collapsed="false">
      <c r="A105" s="9" t="str">
        <f aca="false">IF($B105="","",ROW()-5)</f>
        <v/>
      </c>
      <c r="B105" s="9" t="str">
        <f aca="false">IF('Daftar Affiliate'!B105="","",'Daftar Affiliate'!B105)</f>
        <v/>
      </c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11" t="str">
        <f aca="false">IF($B105="","",SUM($C105:$N105))</f>
        <v/>
      </c>
      <c r="P105" s="11" t="str">
        <f aca="false">IFERROR(IF($B105="","",AVERAGEIF($C105:$N105,"&gt;0")),"")</f>
        <v/>
      </c>
      <c r="Q105" s="9" t="str">
        <f aca="false">IFERROR(IF(SUM($C105:$N105)=0,"",INDEX($C$4:$N$4,MATCH(MAX($C105:$N105),$C105:$N105,0))),"")</f>
        <v/>
      </c>
    </row>
    <row r="107" customFormat="false" ht="15" hidden="false" customHeight="false" outlineLevel="0" collapsed="false">
      <c r="B107" s="27" t="s">
        <v>109</v>
      </c>
      <c r="C107" s="29" t="n">
        <f aca="false">SUM(C6:C105)</f>
        <v>0</v>
      </c>
      <c r="D107" s="29" t="n">
        <f aca="false">SUM(D6:D105)</f>
        <v>0</v>
      </c>
      <c r="E107" s="29" t="n">
        <f aca="false">SUM(E6:E105)</f>
        <v>0</v>
      </c>
      <c r="F107" s="29" t="n">
        <f aca="false">SUM(F6:F105)</f>
        <v>0</v>
      </c>
      <c r="G107" s="29" t="n">
        <f aca="false">SUM(G6:G105)</f>
        <v>0</v>
      </c>
      <c r="H107" s="29" t="n">
        <f aca="false">SUM(H6:H105)</f>
        <v>0</v>
      </c>
      <c r="I107" s="29" t="n">
        <f aca="false">SUM(I6:I105)</f>
        <v>0</v>
      </c>
      <c r="J107" s="29" t="n">
        <f aca="false">SUM(J6:J105)</f>
        <v>0</v>
      </c>
      <c r="K107" s="29" t="n">
        <f aca="false">SUM(K6:K105)</f>
        <v>0</v>
      </c>
      <c r="L107" s="29" t="n">
        <f aca="false">SUM(L6:L105)</f>
        <v>0</v>
      </c>
      <c r="M107" s="29" t="n">
        <f aca="false">SUM(M6:M105)</f>
        <v>0</v>
      </c>
      <c r="N107" s="29" t="n">
        <f aca="false">SUM(N6:N105)</f>
        <v>0</v>
      </c>
      <c r="O107" s="29" t="n">
        <f aca="false">SUM(O6:O105)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2026-08-12T08:25:28Z</dcterms:created>
  <dc:creator>openpyxl</dc:creator>
  <dc:description/>
  <dc:language>en-US</dc:language>
  <cp:lastModifiedBy/>
  <dcterms:modified xsi:type="dcterms:W3CDTF">2026-08-12T08:25:29Z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