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Raw Data" sheetId="2" state="visible" r:id="rId4"/>
    <sheet name="Campaign Summary" sheetId="3" state="visible" r:id="rId5"/>
    <sheet name="Objective Summary" sheetId="4" state="visible" r:id="rId6"/>
    <sheet name="CAC Lenses" sheetId="5" state="visible" r:id="rId7"/>
    <sheet name="Monthly Trend" sheetId="6" state="visible" r:id="rId8"/>
    <sheet name="Ad Set Performance" sheetId="7" state="visible" r:id="rId9"/>
    <sheet name="Funnel" sheetId="8" state="visible" r:id="rId10"/>
  </sheets>
  <definedNames>
    <definedName function="false" hidden="true" localSheetId="1" name="_xlnm._FilterDatabase" vbProcedure="false">'Raw Data'!$A$1:$S$459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R1" authorId="0">
      <text>
        <r>
          <rPr>
            <sz val="10"/>
            <rFont val="Arial"/>
            <family val="2"/>
          </rPr>
          <t xml:space="preserve">Helper column: campaign objective parsed from the campaign name (text before the first slash).</t>
        </r>
      </text>
    </comment>
    <comment ref="S1" authorId="0">
      <text>
        <r>
          <rPr>
            <sz val="10"/>
            <rFont val="Arial"/>
            <family val="2"/>
          </rPr>
          <t xml:space="preserve">Helper column: reporting month parsed from the Day column.</t>
        </r>
      </text>
    </comment>
  </commentList>
</comments>
</file>

<file path=xl/sharedStrings.xml><?xml version="1.0" encoding="utf-8"?>
<sst xmlns="http://schemas.openxmlformats.org/spreadsheetml/2006/main" count="3902" uniqueCount="220">
  <si>
    <t xml:space="preserve">Sophie Martin Website Advertising: Executive Summary</t>
  </si>
  <si>
    <t xml:space="preserve">Period: 1 July to 8 September 2026 (70 calendar days, ads delivered on 67 of them). Source: Meta Ads Manager export, Sales-Website Jul - Sep.xlsx. Currency: IDR.</t>
  </si>
  <si>
    <t xml:space="preserve">Question 1: How much have we spent to promote the website in total?</t>
  </si>
  <si>
    <t xml:space="preserve">Total website promotion spend</t>
  </si>
  <si>
    <t xml:space="preserve">Awareness campaigns (brand reach)</t>
  </si>
  <si>
    <t xml:space="preserve">Traffic campaigns (website visits)</t>
  </si>
  <si>
    <t xml:space="preserve">Sales campaigns (purchases)</t>
  </si>
  <si>
    <t xml:space="preserve">Average spend per day</t>
  </si>
  <si>
    <t xml:space="preserve">Question 2: What is our cost to acquire one client (CAC)?</t>
  </si>
  <si>
    <t xml:space="preserve">Blended CAC (all spend / all purchases). Recommended headline.</t>
  </si>
  <si>
    <t xml:space="preserve">Conversion CAC (Sales campaigns only)</t>
  </si>
  <si>
    <t xml:space="preserve">Best engine CAC (Cold Start Broad campaign)</t>
  </si>
  <si>
    <t xml:space="preserve">Brand and traffic investment per purchase (Blended minus Conversion)</t>
  </si>
  <si>
    <t xml:space="preserve">Supporting results</t>
  </si>
  <si>
    <t xml:space="preserve">Website purchases (clients acquired)</t>
  </si>
  <si>
    <t xml:space="preserve">Purchase revenue (Meta attributed)</t>
  </si>
  <si>
    <t xml:space="preserve">Average order value</t>
  </si>
  <si>
    <t xml:space="preserve">Blended ROAS (revenue / all spend)</t>
  </si>
  <si>
    <t xml:space="preserve">Sales campaign ROAS</t>
  </si>
  <si>
    <t xml:space="preserve">People reached</t>
  </si>
  <si>
    <t xml:space="preserve">Landing page views</t>
  </si>
  <si>
    <t xml:space="preserve">Adds to cart</t>
  </si>
  <si>
    <t xml:space="preserve">Cart to purchase rate</t>
  </si>
  <si>
    <t xml:space="preserve">How to read the CAC numbers</t>
  </si>
  <si>
    <t xml:space="preserve">1. Blended CAC is the honest, fully loaded answer: every rupiah spent on the website divided by every purchase. It is high because 69% of the budget went to Awareness and Traffic campaigns, which are not built to produce purchases directly.</t>
  </si>
  <si>
    <t xml:space="preserve">2. Conversion CAC is what it actually costs the Sales campaigns to win a buyer. This is the number to use when deciding whether to scale acquisition budget.</t>
  </si>
  <si>
    <t xml:space="preserve">3. The gap between the two is the price of building an audience. It is an investment, but today it is not yet paying back inside the attribution window: Traffic campaigns delivered 118,907 landing page views and only 3 attributed purchases.</t>
  </si>
  <si>
    <t xml:space="preserve">4. Blended CAC is higher than the average order value. First purchases are acquired at a loss unless repeat purchases follow. Track customer lifetime value to know whether this is acceptable.</t>
  </si>
  <si>
    <t xml:space="preserve">5. All figures use Meta attribution (7-day click or 1-day view). Purchases that Meta could not attribute, for example organic or direct visits, are not in this data, so true CAC is likely somewhat lower than reported here.</t>
  </si>
  <si>
    <t xml:space="preserve">Campaign name</t>
  </si>
  <si>
    <t xml:space="preserve">Ad set name</t>
  </si>
  <si>
    <t xml:space="preserve">Day</t>
  </si>
  <si>
    <t xml:space="preserve">Delivery status</t>
  </si>
  <si>
    <t xml:space="preserve">Delivery level</t>
  </si>
  <si>
    <t xml:space="preserve">Reach</t>
  </si>
  <si>
    <t xml:space="preserve">Impressions</t>
  </si>
  <si>
    <t xml:space="preserve">Attribution setting</t>
  </si>
  <si>
    <t xml:space="preserve">Amount spent (IDR)</t>
  </si>
  <si>
    <t xml:space="preserve">Website purchases</t>
  </si>
  <si>
    <t xml:space="preserve">Website purchases conversion value</t>
  </si>
  <si>
    <t xml:space="preserve">Website adds to cart</t>
  </si>
  <si>
    <t xml:space="preserve">Website adds to cart conversion value</t>
  </si>
  <si>
    <t xml:space="preserve">Website purchase ROAS (return on ad spend)</t>
  </si>
  <si>
    <t xml:space="preserve">Reporting starts</t>
  </si>
  <si>
    <t xml:space="preserve">Reporting ends</t>
  </si>
  <si>
    <t xml:space="preserve">Objective</t>
  </si>
  <si>
    <t xml:space="preserve">Month</t>
  </si>
  <si>
    <t xml:space="preserve">Awareness / Reach / CBO / AON</t>
  </si>
  <si>
    <t xml:space="preserve">Broad Fashion</t>
  </si>
  <si>
    <t xml:space="preserve">2026-07-01</t>
  </si>
  <si>
    <t xml:space="preserve">not_delivering</t>
  </si>
  <si>
    <t xml:space="preserve">adset</t>
  </si>
  <si>
    <t xml:space="preserve">7-day click or 1-day view</t>
  </si>
  <si>
    <t xml:space="preserve">Fashion Brand</t>
  </si>
  <si>
    <t xml:space="preserve">Life Style</t>
  </si>
  <si>
    <t xml:space="preserve">2026-07-02</t>
  </si>
  <si>
    <t xml:space="preserve">2026-07-03</t>
  </si>
  <si>
    <t xml:space="preserve">2026-07-04</t>
  </si>
  <si>
    <t xml:space="preserve">2026-07-05</t>
  </si>
  <si>
    <t xml:space="preserve">2026-07-06</t>
  </si>
  <si>
    <t xml:space="preserve">2026-07-07</t>
  </si>
  <si>
    <t xml:space="preserve">2026-07-08</t>
  </si>
  <si>
    <t xml:space="preserve">2026-07-09</t>
  </si>
  <si>
    <t xml:space="preserve">2026-07-10</t>
  </si>
  <si>
    <t xml:space="preserve">2026-07-11</t>
  </si>
  <si>
    <t xml:space="preserve">2026-07-12</t>
  </si>
  <si>
    <t xml:space="preserve">Awareness / Reach / CBO / SophieMartin</t>
  </si>
  <si>
    <t xml:space="preserve">AW-1 / Broad Cold Audience</t>
  </si>
  <si>
    <t xml:space="preserve">2026-07-16</t>
  </si>
  <si>
    <t xml:space="preserve">active</t>
  </si>
  <si>
    <t xml:space="preserve">AW-2 / Interest - Fashion &amp; Style</t>
  </si>
  <si>
    <t xml:space="preserve">AW-3 / Lookalike 3-5% (Engagers)</t>
  </si>
  <si>
    <t xml:space="preserve">2026-07-17</t>
  </si>
  <si>
    <t xml:space="preserve">Sales / Purchase / CBO / ColdStart Broad / SophieMartin / Jul26</t>
  </si>
  <si>
    <t xml:space="preserve">ADS / Broad Advantage+ / Wanita 18-45 / ID / Feed-Story-Reels</t>
  </si>
  <si>
    <t xml:space="preserve">Traffic / LPV / Web / SophieMartin</t>
  </si>
  <si>
    <t xml:space="preserve">CL-1 Online Shopper Behaviour</t>
  </si>
  <si>
    <t xml:space="preserve">CL-2 Video Viewers Retarget</t>
  </si>
  <si>
    <t xml:space="preserve">2026-07-18</t>
  </si>
  <si>
    <t xml:space="preserve">CL-3 Lookalike 1-3% (Web Visitors)</t>
  </si>
  <si>
    <t xml:space="preserve">2026-07-19</t>
  </si>
  <si>
    <t xml:space="preserve">2026-07-20</t>
  </si>
  <si>
    <t xml:space="preserve">2026-07-21</t>
  </si>
  <si>
    <t xml:space="preserve">2026-07-22</t>
  </si>
  <si>
    <t xml:space="preserve">2026-07-23</t>
  </si>
  <si>
    <t xml:space="preserve">2026-07-24</t>
  </si>
  <si>
    <t xml:space="preserve">2026-07-25</t>
  </si>
  <si>
    <t xml:space="preserve">2026-07-26</t>
  </si>
  <si>
    <t xml:space="preserve">2026-07-27</t>
  </si>
  <si>
    <t xml:space="preserve">2026-07-28</t>
  </si>
  <si>
    <t xml:space="preserve">2026-07-29</t>
  </si>
  <si>
    <t xml:space="preserve">2026-07-30</t>
  </si>
  <si>
    <t xml:space="preserve">2026-07-31</t>
  </si>
  <si>
    <t xml:space="preserve">Sales / Retargeting / CBO / SophieMartin</t>
  </si>
  <si>
    <t xml:space="preserve">RT-1 / Hot / Cart+Checkout 14D / Purchase</t>
  </si>
  <si>
    <t xml:space="preserve">RT-2 / Warm / Product Viewers 30-180D / Purchase</t>
  </si>
  <si>
    <t xml:space="preserve">RT-3 / Warm / Social Engagers (Video+IG) / Purchase</t>
  </si>
  <si>
    <t xml:space="preserve">inactive</t>
  </si>
  <si>
    <t xml:space="preserve">2026-08-01</t>
  </si>
  <si>
    <t xml:space="preserve">2026-08-02</t>
  </si>
  <si>
    <t xml:space="preserve">2026-08-03</t>
  </si>
  <si>
    <t xml:space="preserve">2026-08-04</t>
  </si>
  <si>
    <t xml:space="preserve">2026-08-05</t>
  </si>
  <si>
    <t xml:space="preserve">2026-08-06</t>
  </si>
  <si>
    <t xml:space="preserve">2026-08-07</t>
  </si>
  <si>
    <t xml:space="preserve">2026-08-08</t>
  </si>
  <si>
    <t xml:space="preserve">2026-08-09</t>
  </si>
  <si>
    <t xml:space="preserve">2026-08-10</t>
  </si>
  <si>
    <t xml:space="preserve">2026-08-11</t>
  </si>
  <si>
    <t xml:space="preserve">2026-08-12</t>
  </si>
  <si>
    <t xml:space="preserve">2026-08-13</t>
  </si>
  <si>
    <t xml:space="preserve">2026-08-14</t>
  </si>
  <si>
    <t xml:space="preserve">2026-08-15</t>
  </si>
  <si>
    <t xml:space="preserve">2026-08-16</t>
  </si>
  <si>
    <t xml:space="preserve">2026-08-17</t>
  </si>
  <si>
    <t xml:space="preserve">2026-08-18</t>
  </si>
  <si>
    <t xml:space="preserve">2026-08-19</t>
  </si>
  <si>
    <t xml:space="preserve">2026-08-20</t>
  </si>
  <si>
    <t xml:space="preserve">2026-08-21</t>
  </si>
  <si>
    <t xml:space="preserve">2026-08-22</t>
  </si>
  <si>
    <t xml:space="preserve">2026-08-23</t>
  </si>
  <si>
    <t xml:space="preserve">2026-08-24</t>
  </si>
  <si>
    <t xml:space="preserve">2026-08-25</t>
  </si>
  <si>
    <t xml:space="preserve">2026-08-26</t>
  </si>
  <si>
    <t xml:space="preserve">2026-08-27</t>
  </si>
  <si>
    <t xml:space="preserve">2026-08-28</t>
  </si>
  <si>
    <t xml:space="preserve">2026-08-29</t>
  </si>
  <si>
    <t xml:space="preserve">2026-08-30</t>
  </si>
  <si>
    <t xml:space="preserve">2026-08-31</t>
  </si>
  <si>
    <t xml:space="preserve">2026-09-01</t>
  </si>
  <si>
    <t xml:space="preserve">2026-09-02</t>
  </si>
  <si>
    <t xml:space="preserve">2026-09-03</t>
  </si>
  <si>
    <t xml:space="preserve">2026-09-04</t>
  </si>
  <si>
    <t xml:space="preserve">2026-09-05</t>
  </si>
  <si>
    <t xml:space="preserve">2026-09-06</t>
  </si>
  <si>
    <t xml:space="preserve">2026-09-07</t>
  </si>
  <si>
    <t xml:space="preserve">2026-09-08</t>
  </si>
  <si>
    <t xml:space="preserve">Campaign Summary (1 Jul to 8 Sep 2026)</t>
  </si>
  <si>
    <t xml:space="preserve">All values are SUMIFS formulas over the Raw Data sheet. Attribution: 7-day click or 1-day view, as reported by Meta Ads Manager.</t>
  </si>
  <si>
    <t xml:space="preserve">First day</t>
  </si>
  <si>
    <t xml:space="preserve">Last day</t>
  </si>
  <si>
    <t xml:space="preserve">Days active</t>
  </si>
  <si>
    <t xml:space="preserve">Spend (IDR)</t>
  </si>
  <si>
    <t xml:space="preserve">Purchases</t>
  </si>
  <si>
    <t xml:space="preserve">Revenue (IDR)</t>
  </si>
  <si>
    <t xml:space="preserve">Share of spend</t>
  </si>
  <si>
    <t xml:space="preserve">CPM (IDR)</t>
  </si>
  <si>
    <t xml:space="preserve">Cost per LPV (IDR)</t>
  </si>
  <si>
    <t xml:space="preserve">Cost per ATC (IDR)</t>
  </si>
  <si>
    <t xml:space="preserve">CAC (IDR)</t>
  </si>
  <si>
    <t xml:space="preserve">ROAS</t>
  </si>
  <si>
    <t xml:space="preserve">Awareness</t>
  </si>
  <si>
    <t xml:space="preserve">Traffic</t>
  </si>
  <si>
    <t xml:space="preserve">Sales</t>
  </si>
  <si>
    <t xml:space="preserve">Total</t>
  </si>
  <si>
    <t xml:space="preserve">All campaigns</t>
  </si>
  <si>
    <t xml:space="preserve">Note: "Awareness / Reach / CBO / AON" ran 1 to 12 July only and is included in total spend. Confirm with the ads team whether this campaign belongs to the Sophie Martin website budget; if not, remove it from the Raw Data sheet and every total updates automatically.</t>
  </si>
  <si>
    <t xml:space="preserve">Spend and results by campaign objective</t>
  </si>
  <si>
    <t xml:space="preserve">Each objective plays a different role in the funnel. Only Sales campaigns are optimised for purchases, so CAC is only a fair metric for that layer.</t>
  </si>
  <si>
    <t xml:space="preserve">Funnel role</t>
  </si>
  <si>
    <t xml:space="preserve">Primary success metric</t>
  </si>
  <si>
    <t xml:space="preserve">Top of funnel: build brand recall</t>
  </si>
  <si>
    <t xml:space="preserve">Reach and CPM</t>
  </si>
  <si>
    <t xml:space="preserve">Middle of funnel: bring shoppers to the website</t>
  </si>
  <si>
    <t xml:space="preserve">Landing page views and cost per LPV</t>
  </si>
  <si>
    <t xml:space="preserve">Bottom of funnel: convert shoppers into buyers</t>
  </si>
  <si>
    <t xml:space="preserve">Purchases, CAC and ROAS</t>
  </si>
  <si>
    <t xml:space="preserve">All website promotion</t>
  </si>
  <si>
    <t xml:space="preserve">Blended CAC and blended ROAS</t>
  </si>
  <si>
    <t xml:space="preserve">Cost to acquire one client: three ways to read it</t>
  </si>
  <si>
    <t xml:space="preserve">All three are correct. They answer different questions. The recommended headline for the board is Lens 1, explained with Lens 2.</t>
  </si>
  <si>
    <t xml:space="preserve">Lens</t>
  </si>
  <si>
    <t xml:space="preserve">What it answers</t>
  </si>
  <si>
    <t xml:space="preserve">Spend included (IDR)</t>
  </si>
  <si>
    <t xml:space="preserve">Purchases included</t>
  </si>
  <si>
    <t xml:space="preserve">Average order value (IDR)</t>
  </si>
  <si>
    <t xml:space="preserve">CAC as % of AOV</t>
  </si>
  <si>
    <t xml:space="preserve">Lens 1: Blended CAC</t>
  </si>
  <si>
    <t xml:space="preserve">What did every rupiah of website promotion cost per purchase, including brand and traffic investment?</t>
  </si>
  <si>
    <t xml:space="preserve">Lens 2: Conversion CAC</t>
  </si>
  <si>
    <t xml:space="preserve">What did the campaigns built to acquire buyers (Sales objective) cost per purchase?</t>
  </si>
  <si>
    <t xml:space="preserve">Lens 3: Best engine CAC</t>
  </si>
  <si>
    <t xml:space="preserve">What does our best performing acquisition campaign (Cold Start Broad) cost per purchase?</t>
  </si>
  <si>
    <t xml:space="preserve">Brand and traffic investment per purchase</t>
  </si>
  <si>
    <t xml:space="preserve">Lens 1 minus Lens 2. This is the part of blended CAC that comes from Awareness and Traffic campaigns.</t>
  </si>
  <si>
    <t xml:space="preserve">Reading guide</t>
  </si>
  <si>
    <t xml:space="preserve">1. Lens 1 is the number finance will recognise: total website promotion spend divided by total website purchases.</t>
  </si>
  <si>
    <t xml:space="preserve">2. Lens 2 isolates the campaigns whose job is to convert. Awareness and Traffic campaigns are optimised for reach and landing page views, not purchases, so they rarely receive purchase credit inside a 7-day click or 1-day view window.</t>
  </si>
  <si>
    <t xml:space="preserve">3. Lens 3 shows what the acquisition engine can do at its best and is the benchmark for scaling budget.</t>
  </si>
  <si>
    <t xml:space="preserve">4. A purchase is counted as one acquired client. Meta reports purchase events, not unique customers, so repeat buyers inside the period slightly inflate the client count and slightly understate true CAC.</t>
  </si>
  <si>
    <t xml:space="preserve">Monthly trend</t>
  </si>
  <si>
    <t xml:space="preserve">July covers 1 to 31 July (Sales campaigns started 17 July). September covers 1 to 8 September only.</t>
  </si>
  <si>
    <t xml:space="preserve">Awareness spend (IDR)</t>
  </si>
  <si>
    <t xml:space="preserve">Traffic spend (IDR)</t>
  </si>
  <si>
    <t xml:space="preserve">Sales spend (IDR)</t>
  </si>
  <si>
    <t xml:space="preserve">Total spend (IDR)</t>
  </si>
  <si>
    <t xml:space="preserve">Blended CAC (IDR)</t>
  </si>
  <si>
    <t xml:space="preserve">Conversion CAC (IDR)</t>
  </si>
  <si>
    <t xml:space="preserve">Blended ROAS</t>
  </si>
  <si>
    <t xml:space="preserve">Sales ROAS</t>
  </si>
  <si>
    <t xml:space="preserve">2026-07</t>
  </si>
  <si>
    <t xml:space="preserve">2026-08</t>
  </si>
  <si>
    <t xml:space="preserve">2026-09</t>
  </si>
  <si>
    <t xml:space="preserve">Ad set performance</t>
  </si>
  <si>
    <t xml:space="preserve">Use this sheet to decide where to scale and where to cut. Sorted by objective, then campaign.</t>
  </si>
  <si>
    <t xml:space="preserve">LPV to ATC rate</t>
  </si>
  <si>
    <t xml:space="preserve">ATC to purchase rate</t>
  </si>
  <si>
    <t xml:space="preserve">Website funnel, all campaigns combined</t>
  </si>
  <si>
    <t xml:space="preserve">Each stage is a Meta reported event. Step rate is the share of the previous stage that reached this stage.</t>
  </si>
  <si>
    <t xml:space="preserve">Stage</t>
  </si>
  <si>
    <t xml:space="preserve">Count</t>
  </si>
  <si>
    <t xml:space="preserve">Step rate from previous stage</t>
  </si>
  <si>
    <t xml:space="preserve">Rate from reach</t>
  </si>
  <si>
    <t xml:space="preserve">Cost per event (IDR)</t>
  </si>
  <si>
    <t xml:space="preserve">Cart value left behind</t>
  </si>
  <si>
    <t xml:space="preserve">Add to cart value (IDR)</t>
  </si>
  <si>
    <t xml:space="preserve">Purchase value (IDR)</t>
  </si>
  <si>
    <t xml:space="preserve">Cart value not converted (IDR)</t>
  </si>
  <si>
    <t xml:space="preserve">Share of cart value converted</t>
  </si>
  <si>
    <t xml:space="preserve">Note: add to cart value counts every cart event, so the same shopper adding twice is counted twice. Treat the gap as a direction, not an exact leak.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</si>
</sst>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&quot;IDR &quot;#,##0;&quot;(IDR &quot;#,##0\);\-"/>
    <numFmt numFmtId="166" formatCode="0.0%;\(0.0%\);\-"/>
    <numFmt numFmtId="167" formatCode="#,##0;\(#,##0\);\-"/>
    <numFmt numFmtId="168" formatCode="0.00\x;\(0.00&quot;x)&quot;;\-"/>
    <numFmt numFmtId="169" formatCode="0.00"/>
    <numFmt numFmtId="170" formatCode="0.00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2A44"/>
      <name val="Arial"/>
      <family val="0"/>
      <charset val="1"/>
    </font>
    <font>
      <i val="true"/>
      <sz val="9"/>
      <color rgb="FF555555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  <font>
      <b val="true"/>
      <sz val="14"/>
      <color rgb="FF1F2A44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E8F0FB"/>
        <bgColor rgb="FFFFFFFF"/>
      </patternFill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F2A44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E8F0FB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2" min="2" style="0" width="22"/>
    <col collapsed="false" customWidth="true" hidden="false" outlineLevel="0" max="3" min="3" style="0" width="12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4" t="s">
        <v>3</v>
      </c>
      <c r="B5" s="5" t="n">
        <f aca="false">'Objective Summary'!D8</f>
        <v>42838221</v>
      </c>
    </row>
    <row r="6" customFormat="false" ht="15" hidden="false" customHeight="false" outlineLevel="0" collapsed="false">
      <c r="A6" s="6" t="s">
        <v>4</v>
      </c>
      <c r="B6" s="7" t="n">
        <f aca="false">'Objective Summary'!D5</f>
        <v>13298375</v>
      </c>
      <c r="C6" s="8" t="n">
        <f aca="false">'Objective Summary'!E5</f>
        <v>0.310432475709017</v>
      </c>
    </row>
    <row r="7" customFormat="false" ht="15" hidden="false" customHeight="false" outlineLevel="0" collapsed="false">
      <c r="A7" s="6" t="s">
        <v>5</v>
      </c>
      <c r="B7" s="7" t="n">
        <f aca="false">'Objective Summary'!D6</f>
        <v>16151104</v>
      </c>
      <c r="C7" s="8" t="n">
        <f aca="false">'Objective Summary'!E6</f>
        <v>0.377025553885629</v>
      </c>
    </row>
    <row r="8" customFormat="false" ht="15" hidden="false" customHeight="false" outlineLevel="0" collapsed="false">
      <c r="A8" s="6" t="s">
        <v>6</v>
      </c>
      <c r="B8" s="7" t="n">
        <f aca="false">'Objective Summary'!D7</f>
        <v>13388742</v>
      </c>
      <c r="C8" s="8" t="n">
        <f aca="false">'Objective Summary'!E7</f>
        <v>0.312541970405354</v>
      </c>
    </row>
    <row r="9" customFormat="false" ht="15" hidden="false" customHeight="false" outlineLevel="0" collapsed="false">
      <c r="A9" s="6" t="s">
        <v>7</v>
      </c>
      <c r="B9" s="7" t="n">
        <f aca="false">IFERROR(B5/'Campaign Summary'!E10,0)</f>
        <v>639376.432835821</v>
      </c>
    </row>
    <row r="11" customFormat="false" ht="15" hidden="false" customHeight="false" outlineLevel="0" collapsed="false">
      <c r="A11" s="3" t="s">
        <v>8</v>
      </c>
    </row>
    <row r="12" customFormat="false" ht="15" hidden="false" customHeight="false" outlineLevel="0" collapsed="false">
      <c r="A12" s="4" t="s">
        <v>9</v>
      </c>
      <c r="B12" s="5" t="n">
        <f aca="false">'CAC Lenses'!E5</f>
        <v>345469.524193548</v>
      </c>
    </row>
    <row r="13" customFormat="false" ht="15" hidden="false" customHeight="false" outlineLevel="0" collapsed="false">
      <c r="A13" s="6" t="s">
        <v>10</v>
      </c>
      <c r="B13" s="7" t="n">
        <f aca="false">'CAC Lenses'!E6</f>
        <v>110650.760330579</v>
      </c>
    </row>
    <row r="14" customFormat="false" ht="15" hidden="false" customHeight="false" outlineLevel="0" collapsed="false">
      <c r="A14" s="6" t="s">
        <v>11</v>
      </c>
      <c r="B14" s="7" t="n">
        <f aca="false">'CAC Lenses'!E7</f>
        <v>91950.0172413793</v>
      </c>
    </row>
    <row r="15" customFormat="false" ht="15" hidden="false" customHeight="false" outlineLevel="0" collapsed="false">
      <c r="A15" s="6" t="s">
        <v>12</v>
      </c>
      <c r="B15" s="7" t="n">
        <f aca="false">'CAC Lenses'!E9</f>
        <v>234818.76386297</v>
      </c>
    </row>
    <row r="17" customFormat="false" ht="15" hidden="false" customHeight="false" outlineLevel="0" collapsed="false">
      <c r="A17" s="3" t="s">
        <v>13</v>
      </c>
    </row>
    <row r="18" customFormat="false" ht="15" hidden="false" customHeight="false" outlineLevel="0" collapsed="false">
      <c r="A18" s="6" t="s">
        <v>14</v>
      </c>
      <c r="B18" s="9" t="n">
        <f aca="false">'Objective Summary'!I8</f>
        <v>124</v>
      </c>
    </row>
    <row r="19" customFormat="false" ht="15" hidden="false" customHeight="false" outlineLevel="0" collapsed="false">
      <c r="A19" s="6" t="s">
        <v>15</v>
      </c>
      <c r="B19" s="7" t="n">
        <f aca="false">'Objective Summary'!J8</f>
        <v>23276290</v>
      </c>
    </row>
    <row r="20" customFormat="false" ht="15" hidden="false" customHeight="false" outlineLevel="0" collapsed="false">
      <c r="A20" s="6" t="s">
        <v>16</v>
      </c>
      <c r="B20" s="7" t="n">
        <f aca="false">IFERROR(B19/B18,0)</f>
        <v>187712.016129032</v>
      </c>
    </row>
    <row r="21" customFormat="false" ht="15" hidden="false" customHeight="false" outlineLevel="0" collapsed="false">
      <c r="A21" s="6" t="s">
        <v>17</v>
      </c>
      <c r="B21" s="10" t="n">
        <f aca="false">'Objective Summary'!N8</f>
        <v>0.543353329261736</v>
      </c>
    </row>
    <row r="22" customFormat="false" ht="15" hidden="false" customHeight="false" outlineLevel="0" collapsed="false">
      <c r="A22" s="6" t="s">
        <v>18</v>
      </c>
      <c r="B22" s="10" t="n">
        <f aca="false">'Objective Summary'!N7</f>
        <v>1.69837830917946</v>
      </c>
    </row>
    <row r="23" customFormat="false" ht="15" hidden="false" customHeight="false" outlineLevel="0" collapsed="false">
      <c r="A23" s="6" t="s">
        <v>19</v>
      </c>
      <c r="B23" s="9" t="n">
        <f aca="false">'Objective Summary'!F8</f>
        <v>15824357</v>
      </c>
    </row>
    <row r="24" customFormat="false" ht="15" hidden="false" customHeight="false" outlineLevel="0" collapsed="false">
      <c r="A24" s="6" t="s">
        <v>20</v>
      </c>
      <c r="B24" s="9" t="n">
        <f aca="false">'Objective Summary'!G8</f>
        <v>135976</v>
      </c>
    </row>
    <row r="25" customFormat="false" ht="15" hidden="false" customHeight="false" outlineLevel="0" collapsed="false">
      <c r="A25" s="6" t="s">
        <v>21</v>
      </c>
      <c r="B25" s="9" t="n">
        <f aca="false">'Objective Summary'!H8</f>
        <v>1837</v>
      </c>
    </row>
    <row r="26" customFormat="false" ht="15" hidden="false" customHeight="false" outlineLevel="0" collapsed="false">
      <c r="A26" s="6" t="s">
        <v>22</v>
      </c>
      <c r="B26" s="8" t="n">
        <f aca="false">IFERROR(B18/B25,0)</f>
        <v>0.0675013609145346</v>
      </c>
    </row>
    <row r="28" customFormat="false" ht="15" hidden="false" customHeight="false" outlineLevel="0" collapsed="false">
      <c r="A28" s="3" t="s">
        <v>23</v>
      </c>
    </row>
    <row r="29" customFormat="false" ht="43.5" hidden="false" customHeight="true" outlineLevel="0" collapsed="false">
      <c r="A29" s="11" t="s">
        <v>24</v>
      </c>
      <c r="B29" s="11"/>
      <c r="C29" s="11"/>
    </row>
    <row r="30" customFormat="false" ht="43.5" hidden="false" customHeight="true" outlineLevel="0" collapsed="false">
      <c r="A30" s="11" t="s">
        <v>25</v>
      </c>
      <c r="B30" s="11"/>
      <c r="C30" s="11"/>
    </row>
    <row r="31" customFormat="false" ht="43.5" hidden="false" customHeight="true" outlineLevel="0" collapsed="false">
      <c r="A31" s="11" t="s">
        <v>26</v>
      </c>
      <c r="B31" s="11"/>
      <c r="C31" s="11"/>
    </row>
    <row r="32" customFormat="false" ht="43.5" hidden="false" customHeight="true" outlineLevel="0" collapsed="false">
      <c r="A32" s="11" t="s">
        <v>27</v>
      </c>
      <c r="B32" s="11"/>
      <c r="C32" s="11"/>
    </row>
    <row r="33" customFormat="false" ht="43.5" hidden="false" customHeight="true" outlineLevel="0" collapsed="false">
      <c r="A33" s="11" t="s">
        <v>28</v>
      </c>
      <c r="B33" s="11"/>
      <c r="C33" s="11"/>
    </row>
  </sheetData>
  <mergeCells count="5">
    <mergeCell ref="A29:C29"/>
    <mergeCell ref="A30:C30"/>
    <mergeCell ref="A31:C31"/>
    <mergeCell ref="A32:C32"/>
    <mergeCell ref="A33:C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45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44"/>
    <col collapsed="false" customWidth="true" hidden="false" outlineLevel="0" max="3" min="3" style="0" width="11"/>
    <col collapsed="false" customWidth="true" hidden="false" outlineLevel="0" max="4" min="4" style="0" width="12"/>
    <col collapsed="false" customWidth="true" hidden="false" outlineLevel="0" max="5" min="5" style="0" width="9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22"/>
    <col collapsed="false" customWidth="true" hidden="false" outlineLevel="0" max="9" min="9" style="0" width="16"/>
    <col collapsed="false" customWidth="true" hidden="false" outlineLevel="0" max="10" min="10" style="0" width="12"/>
    <col collapsed="false" customWidth="true" hidden="false" outlineLevel="0" max="11" min="11" style="0" width="11"/>
    <col collapsed="false" customWidth="true" hidden="false" outlineLevel="0" max="12" min="12" style="0" width="16"/>
    <col collapsed="false" customWidth="true" hidden="false" outlineLevel="0" max="13" min="13" style="0" width="11"/>
    <col collapsed="false" customWidth="true" hidden="false" outlineLevel="0" max="14" min="14" style="0" width="16"/>
    <col collapsed="false" customWidth="true" hidden="false" outlineLevel="0" max="18" min="15" style="0" width="12"/>
    <col collapsed="false" customWidth="true" hidden="false" outlineLevel="0" max="19" min="19" style="0" width="9"/>
  </cols>
  <sheetData>
    <row r="1" customFormat="false" ht="31.5" hidden="false" customHeight="true" outlineLevel="0" collapsed="false">
      <c r="A1" s="12" t="s">
        <v>29</v>
      </c>
      <c r="B1" s="12" t="s">
        <v>30</v>
      </c>
      <c r="C1" s="12" t="s">
        <v>31</v>
      </c>
      <c r="D1" s="12" t="s">
        <v>32</v>
      </c>
      <c r="E1" s="12" t="s">
        <v>33</v>
      </c>
      <c r="F1" s="12" t="s">
        <v>34</v>
      </c>
      <c r="G1" s="12" t="s">
        <v>35</v>
      </c>
      <c r="H1" s="12" t="s">
        <v>36</v>
      </c>
      <c r="I1" s="12" t="s">
        <v>37</v>
      </c>
      <c r="J1" s="12" t="s">
        <v>20</v>
      </c>
      <c r="K1" s="12" t="s">
        <v>38</v>
      </c>
      <c r="L1" s="12" t="s">
        <v>39</v>
      </c>
      <c r="M1" s="12" t="s">
        <v>40</v>
      </c>
      <c r="N1" s="12" t="s">
        <v>41</v>
      </c>
      <c r="O1" s="12" t="s">
        <v>42</v>
      </c>
      <c r="P1" s="12" t="s">
        <v>43</v>
      </c>
      <c r="Q1" s="12" t="s">
        <v>44</v>
      </c>
      <c r="R1" s="12" t="s">
        <v>45</v>
      </c>
      <c r="S1" s="12" t="s">
        <v>46</v>
      </c>
    </row>
    <row r="2" customFormat="false" ht="15" hidden="false" customHeight="false" outlineLevel="0" collapsed="false">
      <c r="A2" s="13" t="s">
        <v>47</v>
      </c>
      <c r="B2" s="13" t="s">
        <v>48</v>
      </c>
      <c r="C2" s="13" t="s">
        <v>49</v>
      </c>
      <c r="D2" s="13" t="s">
        <v>50</v>
      </c>
      <c r="E2" s="13" t="s">
        <v>51</v>
      </c>
      <c r="F2" s="14" t="n">
        <v>91782</v>
      </c>
      <c r="G2" s="14" t="n">
        <v>91782</v>
      </c>
      <c r="H2" s="13" t="s">
        <v>52</v>
      </c>
      <c r="I2" s="14" t="n">
        <v>117766</v>
      </c>
      <c r="J2" s="14"/>
      <c r="K2" s="14"/>
      <c r="L2" s="14"/>
      <c r="M2" s="14"/>
      <c r="N2" s="14"/>
      <c r="O2" s="15"/>
      <c r="P2" s="13" t="s">
        <v>49</v>
      </c>
      <c r="Q2" s="13" t="s">
        <v>49</v>
      </c>
      <c r="R2" s="13" t="str">
        <f aca="false">TRIM(LEFT(A2,FIND("/",A2)-1))</f>
        <v>Awareness</v>
      </c>
      <c r="S2" s="13" t="str">
        <f aca="false">LEFT(C2,7)</f>
        <v>2026-07</v>
      </c>
    </row>
    <row r="3" customFormat="false" ht="15" hidden="false" customHeight="false" outlineLevel="0" collapsed="false">
      <c r="A3" s="13" t="s">
        <v>47</v>
      </c>
      <c r="B3" s="13" t="s">
        <v>53</v>
      </c>
      <c r="C3" s="13" t="s">
        <v>49</v>
      </c>
      <c r="D3" s="13" t="s">
        <v>50</v>
      </c>
      <c r="E3" s="13" t="s">
        <v>51</v>
      </c>
      <c r="F3" s="14" t="n">
        <v>564</v>
      </c>
      <c r="G3" s="14" t="n">
        <v>569</v>
      </c>
      <c r="H3" s="13" t="s">
        <v>52</v>
      </c>
      <c r="I3" s="14" t="n">
        <v>726</v>
      </c>
      <c r="J3" s="14"/>
      <c r="K3" s="14"/>
      <c r="L3" s="14"/>
      <c r="M3" s="14"/>
      <c r="N3" s="14"/>
      <c r="O3" s="15"/>
      <c r="P3" s="13" t="s">
        <v>49</v>
      </c>
      <c r="Q3" s="13" t="s">
        <v>49</v>
      </c>
      <c r="R3" s="13" t="str">
        <f aca="false">TRIM(LEFT(A3,FIND("/",A3)-1))</f>
        <v>Awareness</v>
      </c>
      <c r="S3" s="13" t="str">
        <f aca="false">LEFT(C3,7)</f>
        <v>2026-07</v>
      </c>
    </row>
    <row r="4" customFormat="false" ht="15" hidden="false" customHeight="false" outlineLevel="0" collapsed="false">
      <c r="A4" s="13" t="s">
        <v>47</v>
      </c>
      <c r="B4" s="13" t="s">
        <v>54</v>
      </c>
      <c r="C4" s="13" t="s">
        <v>49</v>
      </c>
      <c r="D4" s="13" t="s">
        <v>50</v>
      </c>
      <c r="E4" s="13" t="s">
        <v>51</v>
      </c>
      <c r="F4" s="14" t="n">
        <v>181221</v>
      </c>
      <c r="G4" s="14" t="n">
        <v>181221</v>
      </c>
      <c r="H4" s="13" t="s">
        <v>52</v>
      </c>
      <c r="I4" s="14" t="n">
        <v>229595</v>
      </c>
      <c r="J4" s="14"/>
      <c r="K4" s="14"/>
      <c r="L4" s="14"/>
      <c r="M4" s="14"/>
      <c r="N4" s="14"/>
      <c r="O4" s="15"/>
      <c r="P4" s="13" t="s">
        <v>49</v>
      </c>
      <c r="Q4" s="13" t="s">
        <v>49</v>
      </c>
      <c r="R4" s="13" t="str">
        <f aca="false">TRIM(LEFT(A4,FIND("/",A4)-1))</f>
        <v>Awareness</v>
      </c>
      <c r="S4" s="13" t="str">
        <f aca="false">LEFT(C4,7)</f>
        <v>2026-07</v>
      </c>
    </row>
    <row r="5" customFormat="false" ht="15" hidden="false" customHeight="false" outlineLevel="0" collapsed="false">
      <c r="A5" s="13" t="s">
        <v>47</v>
      </c>
      <c r="B5" s="13" t="s">
        <v>48</v>
      </c>
      <c r="C5" s="13" t="s">
        <v>55</v>
      </c>
      <c r="D5" s="13" t="s">
        <v>50</v>
      </c>
      <c r="E5" s="13" t="s">
        <v>51</v>
      </c>
      <c r="F5" s="14" t="n">
        <v>98734</v>
      </c>
      <c r="G5" s="14" t="n">
        <v>101496</v>
      </c>
      <c r="H5" s="13" t="s">
        <v>52</v>
      </c>
      <c r="I5" s="14" t="n">
        <v>118386</v>
      </c>
      <c r="J5" s="14"/>
      <c r="K5" s="14"/>
      <c r="L5" s="14"/>
      <c r="M5" s="14"/>
      <c r="N5" s="14"/>
      <c r="O5" s="15"/>
      <c r="P5" s="13" t="s">
        <v>55</v>
      </c>
      <c r="Q5" s="13" t="s">
        <v>55</v>
      </c>
      <c r="R5" s="13" t="str">
        <f aca="false">TRIM(LEFT(A5,FIND("/",A5)-1))</f>
        <v>Awareness</v>
      </c>
      <c r="S5" s="13" t="str">
        <f aca="false">LEFT(C5,7)</f>
        <v>2026-07</v>
      </c>
    </row>
    <row r="6" customFormat="false" ht="15" hidden="false" customHeight="false" outlineLevel="0" collapsed="false">
      <c r="A6" s="13" t="s">
        <v>47</v>
      </c>
      <c r="B6" s="13" t="s">
        <v>53</v>
      </c>
      <c r="C6" s="13" t="s">
        <v>55</v>
      </c>
      <c r="D6" s="13" t="s">
        <v>50</v>
      </c>
      <c r="E6" s="13" t="s">
        <v>51</v>
      </c>
      <c r="F6" s="14" t="n">
        <v>8415</v>
      </c>
      <c r="G6" s="14" t="n">
        <v>8415</v>
      </c>
      <c r="H6" s="13" t="s">
        <v>52</v>
      </c>
      <c r="I6" s="14" t="n">
        <v>9699</v>
      </c>
      <c r="J6" s="14"/>
      <c r="K6" s="14"/>
      <c r="L6" s="14"/>
      <c r="M6" s="14"/>
      <c r="N6" s="14"/>
      <c r="O6" s="15"/>
      <c r="P6" s="13" t="s">
        <v>55</v>
      </c>
      <c r="Q6" s="13" t="s">
        <v>55</v>
      </c>
      <c r="R6" s="13" t="str">
        <f aca="false">TRIM(LEFT(A6,FIND("/",A6)-1))</f>
        <v>Awareness</v>
      </c>
      <c r="S6" s="13" t="str">
        <f aca="false">LEFT(C6,7)</f>
        <v>2026-07</v>
      </c>
    </row>
    <row r="7" customFormat="false" ht="15" hidden="false" customHeight="false" outlineLevel="0" collapsed="false">
      <c r="A7" s="13" t="s">
        <v>47</v>
      </c>
      <c r="B7" s="13" t="s">
        <v>54</v>
      </c>
      <c r="C7" s="13" t="s">
        <v>55</v>
      </c>
      <c r="D7" s="13" t="s">
        <v>50</v>
      </c>
      <c r="E7" s="13" t="s">
        <v>51</v>
      </c>
      <c r="F7" s="14" t="n">
        <v>134299</v>
      </c>
      <c r="G7" s="14" t="n">
        <v>134299</v>
      </c>
      <c r="H7" s="13" t="s">
        <v>52</v>
      </c>
      <c r="I7" s="14" t="n">
        <v>155802</v>
      </c>
      <c r="J7" s="14"/>
      <c r="K7" s="14"/>
      <c r="L7" s="14"/>
      <c r="M7" s="14"/>
      <c r="N7" s="14"/>
      <c r="O7" s="15"/>
      <c r="P7" s="13" t="s">
        <v>55</v>
      </c>
      <c r="Q7" s="13" t="s">
        <v>55</v>
      </c>
      <c r="R7" s="13" t="str">
        <f aca="false">TRIM(LEFT(A7,FIND("/",A7)-1))</f>
        <v>Awareness</v>
      </c>
      <c r="S7" s="13" t="str">
        <f aca="false">LEFT(C7,7)</f>
        <v>2026-07</v>
      </c>
    </row>
    <row r="8" customFormat="false" ht="15" hidden="false" customHeight="false" outlineLevel="0" collapsed="false">
      <c r="A8" s="13" t="s">
        <v>47</v>
      </c>
      <c r="B8" s="13" t="s">
        <v>48</v>
      </c>
      <c r="C8" s="13" t="s">
        <v>56</v>
      </c>
      <c r="D8" s="13" t="s">
        <v>50</v>
      </c>
      <c r="E8" s="13" t="s">
        <v>51</v>
      </c>
      <c r="F8" s="14" t="n">
        <v>54860</v>
      </c>
      <c r="G8" s="14" t="n">
        <v>55036</v>
      </c>
      <c r="H8" s="13" t="s">
        <v>52</v>
      </c>
      <c r="I8" s="14" t="n">
        <v>64062</v>
      </c>
      <c r="J8" s="14"/>
      <c r="K8" s="14"/>
      <c r="L8" s="14"/>
      <c r="M8" s="14"/>
      <c r="N8" s="14"/>
      <c r="O8" s="15"/>
      <c r="P8" s="13" t="s">
        <v>56</v>
      </c>
      <c r="Q8" s="13" t="s">
        <v>56</v>
      </c>
      <c r="R8" s="13" t="str">
        <f aca="false">TRIM(LEFT(A8,FIND("/",A8)-1))</f>
        <v>Awareness</v>
      </c>
      <c r="S8" s="13" t="str">
        <f aca="false">LEFT(C8,7)</f>
        <v>2026-07</v>
      </c>
    </row>
    <row r="9" customFormat="false" ht="15" hidden="false" customHeight="false" outlineLevel="0" collapsed="false">
      <c r="A9" s="13" t="s">
        <v>47</v>
      </c>
      <c r="B9" s="13" t="s">
        <v>53</v>
      </c>
      <c r="C9" s="13" t="s">
        <v>56</v>
      </c>
      <c r="D9" s="13" t="s">
        <v>50</v>
      </c>
      <c r="E9" s="13" t="s">
        <v>51</v>
      </c>
      <c r="F9" s="14" t="n">
        <v>1550</v>
      </c>
      <c r="G9" s="14" t="n">
        <v>1550</v>
      </c>
      <c r="H9" s="13" t="s">
        <v>52</v>
      </c>
      <c r="I9" s="14" t="n">
        <v>1809</v>
      </c>
      <c r="J9" s="14"/>
      <c r="K9" s="14"/>
      <c r="L9" s="14"/>
      <c r="M9" s="14"/>
      <c r="N9" s="14"/>
      <c r="O9" s="15"/>
      <c r="P9" s="13" t="s">
        <v>56</v>
      </c>
      <c r="Q9" s="13" t="s">
        <v>56</v>
      </c>
      <c r="R9" s="13" t="str">
        <f aca="false">TRIM(LEFT(A9,FIND("/",A9)-1))</f>
        <v>Awareness</v>
      </c>
      <c r="S9" s="13" t="str">
        <f aca="false">LEFT(C9,7)</f>
        <v>2026-07</v>
      </c>
    </row>
    <row r="10" customFormat="false" ht="15" hidden="false" customHeight="false" outlineLevel="0" collapsed="false">
      <c r="A10" s="13" t="s">
        <v>47</v>
      </c>
      <c r="B10" s="13" t="s">
        <v>54</v>
      </c>
      <c r="C10" s="13" t="s">
        <v>56</v>
      </c>
      <c r="D10" s="13" t="s">
        <v>50</v>
      </c>
      <c r="E10" s="13" t="s">
        <v>51</v>
      </c>
      <c r="F10" s="14" t="n">
        <v>171083</v>
      </c>
      <c r="G10" s="14" t="n">
        <v>174177</v>
      </c>
      <c r="H10" s="13" t="s">
        <v>52</v>
      </c>
      <c r="I10" s="14" t="n">
        <v>202417</v>
      </c>
      <c r="J10" s="14"/>
      <c r="K10" s="14"/>
      <c r="L10" s="14"/>
      <c r="M10" s="14"/>
      <c r="N10" s="14"/>
      <c r="O10" s="15"/>
      <c r="P10" s="13" t="s">
        <v>56</v>
      </c>
      <c r="Q10" s="13" t="s">
        <v>56</v>
      </c>
      <c r="R10" s="13" t="str">
        <f aca="false">TRIM(LEFT(A10,FIND("/",A10)-1))</f>
        <v>Awareness</v>
      </c>
      <c r="S10" s="13" t="str">
        <f aca="false">LEFT(C10,7)</f>
        <v>2026-07</v>
      </c>
    </row>
    <row r="11" customFormat="false" ht="15" hidden="false" customHeight="false" outlineLevel="0" collapsed="false">
      <c r="A11" s="13" t="s">
        <v>47</v>
      </c>
      <c r="B11" s="13" t="s">
        <v>48</v>
      </c>
      <c r="C11" s="13" t="s">
        <v>57</v>
      </c>
      <c r="D11" s="13" t="s">
        <v>50</v>
      </c>
      <c r="E11" s="13" t="s">
        <v>51</v>
      </c>
      <c r="F11" s="14" t="n">
        <v>82728</v>
      </c>
      <c r="G11" s="14" t="n">
        <v>83280</v>
      </c>
      <c r="H11" s="13" t="s">
        <v>52</v>
      </c>
      <c r="I11" s="14" t="n">
        <v>98107</v>
      </c>
      <c r="J11" s="14"/>
      <c r="K11" s="14"/>
      <c r="L11" s="14"/>
      <c r="M11" s="14"/>
      <c r="N11" s="14"/>
      <c r="O11" s="15"/>
      <c r="P11" s="13" t="s">
        <v>57</v>
      </c>
      <c r="Q11" s="13" t="s">
        <v>57</v>
      </c>
      <c r="R11" s="13" t="str">
        <f aca="false">TRIM(LEFT(A11,FIND("/",A11)-1))</f>
        <v>Awareness</v>
      </c>
      <c r="S11" s="13" t="str">
        <f aca="false">LEFT(C11,7)</f>
        <v>2026-07</v>
      </c>
    </row>
    <row r="12" customFormat="false" ht="15" hidden="false" customHeight="false" outlineLevel="0" collapsed="false">
      <c r="A12" s="13" t="s">
        <v>47</v>
      </c>
      <c r="B12" s="13" t="s">
        <v>53</v>
      </c>
      <c r="C12" s="13" t="s">
        <v>57</v>
      </c>
      <c r="D12" s="13" t="s">
        <v>50</v>
      </c>
      <c r="E12" s="13" t="s">
        <v>51</v>
      </c>
      <c r="F12" s="14" t="n">
        <v>2950</v>
      </c>
      <c r="G12" s="14" t="n">
        <v>2955</v>
      </c>
      <c r="H12" s="13" t="s">
        <v>52</v>
      </c>
      <c r="I12" s="14" t="n">
        <v>3447</v>
      </c>
      <c r="J12" s="14"/>
      <c r="K12" s="14"/>
      <c r="L12" s="14"/>
      <c r="M12" s="14"/>
      <c r="N12" s="14"/>
      <c r="O12" s="15"/>
      <c r="P12" s="13" t="s">
        <v>57</v>
      </c>
      <c r="Q12" s="13" t="s">
        <v>57</v>
      </c>
      <c r="R12" s="13" t="str">
        <f aca="false">TRIM(LEFT(A12,FIND("/",A12)-1))</f>
        <v>Awareness</v>
      </c>
      <c r="S12" s="13" t="str">
        <f aca="false">LEFT(C12,7)</f>
        <v>2026-07</v>
      </c>
    </row>
    <row r="13" customFormat="false" ht="15" hidden="false" customHeight="false" outlineLevel="0" collapsed="false">
      <c r="A13" s="13" t="s">
        <v>47</v>
      </c>
      <c r="B13" s="13" t="s">
        <v>54</v>
      </c>
      <c r="C13" s="13" t="s">
        <v>57</v>
      </c>
      <c r="D13" s="13" t="s">
        <v>50</v>
      </c>
      <c r="E13" s="13" t="s">
        <v>51</v>
      </c>
      <c r="F13" s="14" t="n">
        <v>140531</v>
      </c>
      <c r="G13" s="14" t="n">
        <v>142038</v>
      </c>
      <c r="H13" s="13" t="s">
        <v>52</v>
      </c>
      <c r="I13" s="14" t="n">
        <v>166442</v>
      </c>
      <c r="J13" s="14"/>
      <c r="K13" s="14"/>
      <c r="L13" s="14"/>
      <c r="M13" s="14"/>
      <c r="N13" s="14"/>
      <c r="O13" s="15"/>
      <c r="P13" s="13" t="s">
        <v>57</v>
      </c>
      <c r="Q13" s="13" t="s">
        <v>57</v>
      </c>
      <c r="R13" s="13" t="str">
        <f aca="false">TRIM(LEFT(A13,FIND("/",A13)-1))</f>
        <v>Awareness</v>
      </c>
      <c r="S13" s="13" t="str">
        <f aca="false">LEFT(C13,7)</f>
        <v>2026-07</v>
      </c>
    </row>
    <row r="14" customFormat="false" ht="15" hidden="false" customHeight="false" outlineLevel="0" collapsed="false">
      <c r="A14" s="13" t="s">
        <v>47</v>
      </c>
      <c r="B14" s="13" t="s">
        <v>48</v>
      </c>
      <c r="C14" s="13" t="s">
        <v>58</v>
      </c>
      <c r="D14" s="13" t="s">
        <v>50</v>
      </c>
      <c r="E14" s="13" t="s">
        <v>51</v>
      </c>
      <c r="F14" s="14" t="n">
        <v>28052</v>
      </c>
      <c r="G14" s="14" t="n">
        <v>28662</v>
      </c>
      <c r="H14" s="13" t="s">
        <v>52</v>
      </c>
      <c r="I14" s="14" t="n">
        <v>33353</v>
      </c>
      <c r="J14" s="14"/>
      <c r="K14" s="14"/>
      <c r="L14" s="14"/>
      <c r="M14" s="14"/>
      <c r="N14" s="14"/>
      <c r="O14" s="15"/>
      <c r="P14" s="13" t="s">
        <v>58</v>
      </c>
      <c r="Q14" s="13" t="s">
        <v>58</v>
      </c>
      <c r="R14" s="13" t="str">
        <f aca="false">TRIM(LEFT(A14,FIND("/",A14)-1))</f>
        <v>Awareness</v>
      </c>
      <c r="S14" s="13" t="str">
        <f aca="false">LEFT(C14,7)</f>
        <v>2026-07</v>
      </c>
    </row>
    <row r="15" customFormat="false" ht="15" hidden="false" customHeight="false" outlineLevel="0" collapsed="false">
      <c r="A15" s="13" t="s">
        <v>47</v>
      </c>
      <c r="B15" s="13" t="s">
        <v>53</v>
      </c>
      <c r="C15" s="13" t="s">
        <v>58</v>
      </c>
      <c r="D15" s="13" t="s">
        <v>50</v>
      </c>
      <c r="E15" s="13" t="s">
        <v>51</v>
      </c>
      <c r="F15" s="14" t="n">
        <v>84287</v>
      </c>
      <c r="G15" s="14" t="n">
        <v>85632</v>
      </c>
      <c r="H15" s="13" t="s">
        <v>52</v>
      </c>
      <c r="I15" s="14" t="n">
        <v>98977</v>
      </c>
      <c r="J15" s="14"/>
      <c r="K15" s="14"/>
      <c r="L15" s="14"/>
      <c r="M15" s="14"/>
      <c r="N15" s="14"/>
      <c r="O15" s="15"/>
      <c r="P15" s="13" t="s">
        <v>58</v>
      </c>
      <c r="Q15" s="13" t="s">
        <v>58</v>
      </c>
      <c r="R15" s="13" t="str">
        <f aca="false">TRIM(LEFT(A15,FIND("/",A15)-1))</f>
        <v>Awareness</v>
      </c>
      <c r="S15" s="13" t="str">
        <f aca="false">LEFT(C15,7)</f>
        <v>2026-07</v>
      </c>
    </row>
    <row r="16" customFormat="false" ht="15" hidden="false" customHeight="false" outlineLevel="0" collapsed="false">
      <c r="A16" s="13" t="s">
        <v>47</v>
      </c>
      <c r="B16" s="13" t="s">
        <v>54</v>
      </c>
      <c r="C16" s="13" t="s">
        <v>58</v>
      </c>
      <c r="D16" s="13" t="s">
        <v>50</v>
      </c>
      <c r="E16" s="13" t="s">
        <v>51</v>
      </c>
      <c r="F16" s="14" t="n">
        <v>166110</v>
      </c>
      <c r="G16" s="14" t="n">
        <v>167776</v>
      </c>
      <c r="H16" s="13" t="s">
        <v>52</v>
      </c>
      <c r="I16" s="14" t="n">
        <v>193925</v>
      </c>
      <c r="J16" s="14"/>
      <c r="K16" s="14"/>
      <c r="L16" s="14"/>
      <c r="M16" s="14"/>
      <c r="N16" s="14"/>
      <c r="O16" s="15"/>
      <c r="P16" s="13" t="s">
        <v>58</v>
      </c>
      <c r="Q16" s="13" t="s">
        <v>58</v>
      </c>
      <c r="R16" s="13" t="str">
        <f aca="false">TRIM(LEFT(A16,FIND("/",A16)-1))</f>
        <v>Awareness</v>
      </c>
      <c r="S16" s="13" t="str">
        <f aca="false">LEFT(C16,7)</f>
        <v>2026-07</v>
      </c>
    </row>
    <row r="17" customFormat="false" ht="15" hidden="false" customHeight="false" outlineLevel="0" collapsed="false">
      <c r="A17" s="13" t="s">
        <v>47</v>
      </c>
      <c r="B17" s="13" t="s">
        <v>48</v>
      </c>
      <c r="C17" s="13" t="s">
        <v>59</v>
      </c>
      <c r="D17" s="13" t="s">
        <v>50</v>
      </c>
      <c r="E17" s="13" t="s">
        <v>51</v>
      </c>
      <c r="F17" s="14" t="n">
        <v>9889</v>
      </c>
      <c r="G17" s="14" t="n">
        <v>9889</v>
      </c>
      <c r="H17" s="13" t="s">
        <v>52</v>
      </c>
      <c r="I17" s="14" t="n">
        <v>11425</v>
      </c>
      <c r="J17" s="14"/>
      <c r="K17" s="14"/>
      <c r="L17" s="14"/>
      <c r="M17" s="14"/>
      <c r="N17" s="14"/>
      <c r="O17" s="15"/>
      <c r="P17" s="13" t="s">
        <v>59</v>
      </c>
      <c r="Q17" s="13" t="s">
        <v>59</v>
      </c>
      <c r="R17" s="13" t="str">
        <f aca="false">TRIM(LEFT(A17,FIND("/",A17)-1))</f>
        <v>Awareness</v>
      </c>
      <c r="S17" s="13" t="str">
        <f aca="false">LEFT(C17,7)</f>
        <v>2026-07</v>
      </c>
    </row>
    <row r="18" customFormat="false" ht="15" hidden="false" customHeight="false" outlineLevel="0" collapsed="false">
      <c r="A18" s="13" t="s">
        <v>47</v>
      </c>
      <c r="B18" s="13" t="s">
        <v>53</v>
      </c>
      <c r="C18" s="13" t="s">
        <v>59</v>
      </c>
      <c r="D18" s="13" t="s">
        <v>50</v>
      </c>
      <c r="E18" s="13" t="s">
        <v>51</v>
      </c>
      <c r="F18" s="14" t="n">
        <v>77573</v>
      </c>
      <c r="G18" s="14" t="n">
        <v>77573</v>
      </c>
      <c r="H18" s="13" t="s">
        <v>52</v>
      </c>
      <c r="I18" s="14" t="n">
        <v>89763</v>
      </c>
      <c r="J18" s="14"/>
      <c r="K18" s="14"/>
      <c r="L18" s="14"/>
      <c r="M18" s="14"/>
      <c r="N18" s="14"/>
      <c r="O18" s="15"/>
      <c r="P18" s="13" t="s">
        <v>59</v>
      </c>
      <c r="Q18" s="13" t="s">
        <v>59</v>
      </c>
      <c r="R18" s="13" t="str">
        <f aca="false">TRIM(LEFT(A18,FIND("/",A18)-1))</f>
        <v>Awareness</v>
      </c>
      <c r="S18" s="13" t="str">
        <f aca="false">LEFT(C18,7)</f>
        <v>2026-07</v>
      </c>
    </row>
    <row r="19" customFormat="false" ht="15" hidden="false" customHeight="false" outlineLevel="0" collapsed="false">
      <c r="A19" s="13" t="s">
        <v>47</v>
      </c>
      <c r="B19" s="13" t="s">
        <v>54</v>
      </c>
      <c r="C19" s="13" t="s">
        <v>59</v>
      </c>
      <c r="D19" s="13" t="s">
        <v>50</v>
      </c>
      <c r="E19" s="13" t="s">
        <v>51</v>
      </c>
      <c r="F19" s="14" t="n">
        <v>167738</v>
      </c>
      <c r="G19" s="14" t="n">
        <v>170524</v>
      </c>
      <c r="H19" s="13" t="s">
        <v>52</v>
      </c>
      <c r="I19" s="14" t="n">
        <v>197891</v>
      </c>
      <c r="J19" s="14"/>
      <c r="K19" s="14"/>
      <c r="L19" s="14"/>
      <c r="M19" s="14"/>
      <c r="N19" s="14"/>
      <c r="O19" s="15"/>
      <c r="P19" s="13" t="s">
        <v>59</v>
      </c>
      <c r="Q19" s="13" t="s">
        <v>59</v>
      </c>
      <c r="R19" s="13" t="str">
        <f aca="false">TRIM(LEFT(A19,FIND("/",A19)-1))</f>
        <v>Awareness</v>
      </c>
      <c r="S19" s="13" t="str">
        <f aca="false">LEFT(C19,7)</f>
        <v>2026-07</v>
      </c>
    </row>
    <row r="20" customFormat="false" ht="15" hidden="false" customHeight="false" outlineLevel="0" collapsed="false">
      <c r="A20" s="13" t="s">
        <v>47</v>
      </c>
      <c r="B20" s="13" t="s">
        <v>48</v>
      </c>
      <c r="C20" s="13" t="s">
        <v>60</v>
      </c>
      <c r="D20" s="13" t="s">
        <v>50</v>
      </c>
      <c r="E20" s="13" t="s">
        <v>51</v>
      </c>
      <c r="F20" s="14" t="n">
        <v>10626</v>
      </c>
      <c r="G20" s="14" t="n">
        <v>10687</v>
      </c>
      <c r="H20" s="13" t="s">
        <v>52</v>
      </c>
      <c r="I20" s="14" t="n">
        <v>12706</v>
      </c>
      <c r="J20" s="14"/>
      <c r="K20" s="14"/>
      <c r="L20" s="14"/>
      <c r="M20" s="14"/>
      <c r="N20" s="14"/>
      <c r="O20" s="15"/>
      <c r="P20" s="13" t="s">
        <v>60</v>
      </c>
      <c r="Q20" s="13" t="s">
        <v>60</v>
      </c>
      <c r="R20" s="13" t="str">
        <f aca="false">TRIM(LEFT(A20,FIND("/",A20)-1))</f>
        <v>Awareness</v>
      </c>
      <c r="S20" s="13" t="str">
        <f aca="false">LEFT(C20,7)</f>
        <v>2026-07</v>
      </c>
    </row>
    <row r="21" customFormat="false" ht="15" hidden="false" customHeight="false" outlineLevel="0" collapsed="false">
      <c r="A21" s="13" t="s">
        <v>47</v>
      </c>
      <c r="B21" s="13" t="s">
        <v>53</v>
      </c>
      <c r="C21" s="13" t="s">
        <v>60</v>
      </c>
      <c r="D21" s="13" t="s">
        <v>50</v>
      </c>
      <c r="E21" s="13" t="s">
        <v>51</v>
      </c>
      <c r="F21" s="14" t="n">
        <v>79233</v>
      </c>
      <c r="G21" s="14" t="n">
        <v>80706</v>
      </c>
      <c r="H21" s="13" t="s">
        <v>52</v>
      </c>
      <c r="I21" s="14" t="n">
        <v>96261</v>
      </c>
      <c r="J21" s="14"/>
      <c r="K21" s="14"/>
      <c r="L21" s="14"/>
      <c r="M21" s="14"/>
      <c r="N21" s="14"/>
      <c r="O21" s="15"/>
      <c r="P21" s="13" t="s">
        <v>60</v>
      </c>
      <c r="Q21" s="13" t="s">
        <v>60</v>
      </c>
      <c r="R21" s="13" t="str">
        <f aca="false">TRIM(LEFT(A21,FIND("/",A21)-1))</f>
        <v>Awareness</v>
      </c>
      <c r="S21" s="13" t="str">
        <f aca="false">LEFT(C21,7)</f>
        <v>2026-07</v>
      </c>
    </row>
    <row r="22" customFormat="false" ht="15" hidden="false" customHeight="false" outlineLevel="0" collapsed="false">
      <c r="A22" s="13" t="s">
        <v>47</v>
      </c>
      <c r="B22" s="13" t="s">
        <v>54</v>
      </c>
      <c r="C22" s="13" t="s">
        <v>60</v>
      </c>
      <c r="D22" s="13" t="s">
        <v>50</v>
      </c>
      <c r="E22" s="13" t="s">
        <v>51</v>
      </c>
      <c r="F22" s="14" t="n">
        <v>154767</v>
      </c>
      <c r="G22" s="14" t="n">
        <v>154767</v>
      </c>
      <c r="H22" s="13" t="s">
        <v>52</v>
      </c>
      <c r="I22" s="14" t="n">
        <v>182961</v>
      </c>
      <c r="J22" s="14"/>
      <c r="K22" s="14"/>
      <c r="L22" s="14"/>
      <c r="M22" s="14"/>
      <c r="N22" s="14"/>
      <c r="O22" s="15"/>
      <c r="P22" s="13" t="s">
        <v>60</v>
      </c>
      <c r="Q22" s="13" t="s">
        <v>60</v>
      </c>
      <c r="R22" s="13" t="str">
        <f aca="false">TRIM(LEFT(A22,FIND("/",A22)-1))</f>
        <v>Awareness</v>
      </c>
      <c r="S22" s="13" t="str">
        <f aca="false">LEFT(C22,7)</f>
        <v>2026-07</v>
      </c>
    </row>
    <row r="23" customFormat="false" ht="15" hidden="false" customHeight="false" outlineLevel="0" collapsed="false">
      <c r="A23" s="13" t="s">
        <v>47</v>
      </c>
      <c r="B23" s="13" t="s">
        <v>48</v>
      </c>
      <c r="C23" s="13" t="s">
        <v>61</v>
      </c>
      <c r="D23" s="13" t="s">
        <v>50</v>
      </c>
      <c r="E23" s="13" t="s">
        <v>51</v>
      </c>
      <c r="F23" s="14" t="n">
        <v>11558</v>
      </c>
      <c r="G23" s="14" t="n">
        <v>11739</v>
      </c>
      <c r="H23" s="13" t="s">
        <v>52</v>
      </c>
      <c r="I23" s="14" t="n">
        <v>13980</v>
      </c>
      <c r="J23" s="14"/>
      <c r="K23" s="14"/>
      <c r="L23" s="14"/>
      <c r="M23" s="14"/>
      <c r="N23" s="14"/>
      <c r="O23" s="15"/>
      <c r="P23" s="13" t="s">
        <v>61</v>
      </c>
      <c r="Q23" s="13" t="s">
        <v>61</v>
      </c>
      <c r="R23" s="13" t="str">
        <f aca="false">TRIM(LEFT(A23,FIND("/",A23)-1))</f>
        <v>Awareness</v>
      </c>
      <c r="S23" s="13" t="str">
        <f aca="false">LEFT(C23,7)</f>
        <v>2026-07</v>
      </c>
    </row>
    <row r="24" customFormat="false" ht="15" hidden="false" customHeight="false" outlineLevel="0" collapsed="false">
      <c r="A24" s="13" t="s">
        <v>47</v>
      </c>
      <c r="B24" s="13" t="s">
        <v>53</v>
      </c>
      <c r="C24" s="13" t="s">
        <v>61</v>
      </c>
      <c r="D24" s="13" t="s">
        <v>50</v>
      </c>
      <c r="E24" s="13" t="s">
        <v>51</v>
      </c>
      <c r="F24" s="14" t="n">
        <v>130708</v>
      </c>
      <c r="G24" s="14" t="n">
        <v>132771</v>
      </c>
      <c r="H24" s="13" t="s">
        <v>52</v>
      </c>
      <c r="I24" s="14" t="n">
        <v>158286</v>
      </c>
      <c r="J24" s="14"/>
      <c r="K24" s="14"/>
      <c r="L24" s="14"/>
      <c r="M24" s="14"/>
      <c r="N24" s="14"/>
      <c r="O24" s="15"/>
      <c r="P24" s="13" t="s">
        <v>61</v>
      </c>
      <c r="Q24" s="13" t="s">
        <v>61</v>
      </c>
      <c r="R24" s="13" t="str">
        <f aca="false">TRIM(LEFT(A24,FIND("/",A24)-1))</f>
        <v>Awareness</v>
      </c>
      <c r="S24" s="13" t="str">
        <f aca="false">LEFT(C24,7)</f>
        <v>2026-07</v>
      </c>
    </row>
    <row r="25" customFormat="false" ht="15" hidden="false" customHeight="false" outlineLevel="0" collapsed="false">
      <c r="A25" s="13" t="s">
        <v>47</v>
      </c>
      <c r="B25" s="13" t="s">
        <v>54</v>
      </c>
      <c r="C25" s="13" t="s">
        <v>61</v>
      </c>
      <c r="D25" s="13" t="s">
        <v>50</v>
      </c>
      <c r="E25" s="13" t="s">
        <v>51</v>
      </c>
      <c r="F25" s="14" t="n">
        <v>98781</v>
      </c>
      <c r="G25" s="14" t="n">
        <v>102537</v>
      </c>
      <c r="H25" s="13" t="s">
        <v>52</v>
      </c>
      <c r="I25" s="14" t="n">
        <v>121460</v>
      </c>
      <c r="J25" s="14"/>
      <c r="K25" s="14"/>
      <c r="L25" s="14"/>
      <c r="M25" s="14"/>
      <c r="N25" s="14"/>
      <c r="O25" s="15"/>
      <c r="P25" s="13" t="s">
        <v>61</v>
      </c>
      <c r="Q25" s="13" t="s">
        <v>61</v>
      </c>
      <c r="R25" s="13" t="str">
        <f aca="false">TRIM(LEFT(A25,FIND("/",A25)-1))</f>
        <v>Awareness</v>
      </c>
      <c r="S25" s="13" t="str">
        <f aca="false">LEFT(C25,7)</f>
        <v>2026-07</v>
      </c>
    </row>
    <row r="26" customFormat="false" ht="15" hidden="false" customHeight="false" outlineLevel="0" collapsed="false">
      <c r="A26" s="13" t="s">
        <v>47</v>
      </c>
      <c r="B26" s="13" t="s">
        <v>48</v>
      </c>
      <c r="C26" s="13" t="s">
        <v>62</v>
      </c>
      <c r="D26" s="13" t="s">
        <v>50</v>
      </c>
      <c r="E26" s="13" t="s">
        <v>51</v>
      </c>
      <c r="F26" s="14" t="n">
        <v>14752</v>
      </c>
      <c r="G26" s="14" t="n">
        <v>15127</v>
      </c>
      <c r="H26" s="13" t="s">
        <v>52</v>
      </c>
      <c r="I26" s="14" t="n">
        <v>18192</v>
      </c>
      <c r="J26" s="14"/>
      <c r="K26" s="14"/>
      <c r="L26" s="14"/>
      <c r="M26" s="14"/>
      <c r="N26" s="14"/>
      <c r="O26" s="15"/>
      <c r="P26" s="13" t="s">
        <v>62</v>
      </c>
      <c r="Q26" s="13" t="s">
        <v>62</v>
      </c>
      <c r="R26" s="13" t="str">
        <f aca="false">TRIM(LEFT(A26,FIND("/",A26)-1))</f>
        <v>Awareness</v>
      </c>
      <c r="S26" s="13" t="str">
        <f aca="false">LEFT(C26,7)</f>
        <v>2026-07</v>
      </c>
    </row>
    <row r="27" customFormat="false" ht="15" hidden="false" customHeight="false" outlineLevel="0" collapsed="false">
      <c r="A27" s="13" t="s">
        <v>47</v>
      </c>
      <c r="B27" s="13" t="s">
        <v>53</v>
      </c>
      <c r="C27" s="13" t="s">
        <v>62</v>
      </c>
      <c r="D27" s="13" t="s">
        <v>50</v>
      </c>
      <c r="E27" s="13" t="s">
        <v>51</v>
      </c>
      <c r="F27" s="14" t="n">
        <v>97640</v>
      </c>
      <c r="G27" s="14" t="n">
        <v>98524</v>
      </c>
      <c r="H27" s="13" t="s">
        <v>52</v>
      </c>
      <c r="I27" s="14" t="n">
        <v>118714</v>
      </c>
      <c r="J27" s="14"/>
      <c r="K27" s="14"/>
      <c r="L27" s="14"/>
      <c r="M27" s="14"/>
      <c r="N27" s="14"/>
      <c r="O27" s="15"/>
      <c r="P27" s="13" t="s">
        <v>62</v>
      </c>
      <c r="Q27" s="13" t="s">
        <v>62</v>
      </c>
      <c r="R27" s="13" t="str">
        <f aca="false">TRIM(LEFT(A27,FIND("/",A27)-1))</f>
        <v>Awareness</v>
      </c>
      <c r="S27" s="13" t="str">
        <f aca="false">LEFT(C27,7)</f>
        <v>2026-07</v>
      </c>
    </row>
    <row r="28" customFormat="false" ht="15" hidden="false" customHeight="false" outlineLevel="0" collapsed="false">
      <c r="A28" s="13" t="s">
        <v>47</v>
      </c>
      <c r="B28" s="13" t="s">
        <v>54</v>
      </c>
      <c r="C28" s="13" t="s">
        <v>62</v>
      </c>
      <c r="D28" s="13" t="s">
        <v>50</v>
      </c>
      <c r="E28" s="13" t="s">
        <v>51</v>
      </c>
      <c r="F28" s="14" t="n">
        <v>133429</v>
      </c>
      <c r="G28" s="14" t="n">
        <v>133429</v>
      </c>
      <c r="H28" s="13" t="s">
        <v>52</v>
      </c>
      <c r="I28" s="14" t="n">
        <v>160380</v>
      </c>
      <c r="J28" s="14"/>
      <c r="K28" s="14"/>
      <c r="L28" s="14"/>
      <c r="M28" s="14"/>
      <c r="N28" s="14"/>
      <c r="O28" s="15"/>
      <c r="P28" s="13" t="s">
        <v>62</v>
      </c>
      <c r="Q28" s="13" t="s">
        <v>62</v>
      </c>
      <c r="R28" s="13" t="str">
        <f aca="false">TRIM(LEFT(A28,FIND("/",A28)-1))</f>
        <v>Awareness</v>
      </c>
      <c r="S28" s="13" t="str">
        <f aca="false">LEFT(C28,7)</f>
        <v>2026-07</v>
      </c>
    </row>
    <row r="29" customFormat="false" ht="15" hidden="false" customHeight="false" outlineLevel="0" collapsed="false">
      <c r="A29" s="13" t="s">
        <v>47</v>
      </c>
      <c r="B29" s="13" t="s">
        <v>48</v>
      </c>
      <c r="C29" s="13" t="s">
        <v>63</v>
      </c>
      <c r="D29" s="13" t="s">
        <v>50</v>
      </c>
      <c r="E29" s="13" t="s">
        <v>51</v>
      </c>
      <c r="F29" s="14" t="n">
        <v>25830</v>
      </c>
      <c r="G29" s="14" t="n">
        <v>26083</v>
      </c>
      <c r="H29" s="13" t="s">
        <v>52</v>
      </c>
      <c r="I29" s="14" t="n">
        <v>31586</v>
      </c>
      <c r="J29" s="14"/>
      <c r="K29" s="14"/>
      <c r="L29" s="14"/>
      <c r="M29" s="14"/>
      <c r="N29" s="14"/>
      <c r="O29" s="15"/>
      <c r="P29" s="13" t="s">
        <v>63</v>
      </c>
      <c r="Q29" s="13" t="s">
        <v>63</v>
      </c>
      <c r="R29" s="13" t="str">
        <f aca="false">TRIM(LEFT(A29,FIND("/",A29)-1))</f>
        <v>Awareness</v>
      </c>
      <c r="S29" s="13" t="str">
        <f aca="false">LEFT(C29,7)</f>
        <v>2026-07</v>
      </c>
    </row>
    <row r="30" customFormat="false" ht="15" hidden="false" customHeight="false" outlineLevel="0" collapsed="false">
      <c r="A30" s="13" t="s">
        <v>47</v>
      </c>
      <c r="B30" s="13" t="s">
        <v>53</v>
      </c>
      <c r="C30" s="13" t="s">
        <v>63</v>
      </c>
      <c r="D30" s="13" t="s">
        <v>50</v>
      </c>
      <c r="E30" s="13" t="s">
        <v>51</v>
      </c>
      <c r="F30" s="14" t="n">
        <v>117993</v>
      </c>
      <c r="G30" s="14" t="n">
        <v>123199</v>
      </c>
      <c r="H30" s="13" t="s">
        <v>52</v>
      </c>
      <c r="I30" s="14" t="n">
        <v>149106</v>
      </c>
      <c r="J30" s="14"/>
      <c r="K30" s="14"/>
      <c r="L30" s="14"/>
      <c r="M30" s="14"/>
      <c r="N30" s="14"/>
      <c r="O30" s="15"/>
      <c r="P30" s="13" t="s">
        <v>63</v>
      </c>
      <c r="Q30" s="13" t="s">
        <v>63</v>
      </c>
      <c r="R30" s="13" t="str">
        <f aca="false">TRIM(LEFT(A30,FIND("/",A30)-1))</f>
        <v>Awareness</v>
      </c>
      <c r="S30" s="13" t="str">
        <f aca="false">LEFT(C30,7)</f>
        <v>2026-07</v>
      </c>
    </row>
    <row r="31" customFormat="false" ht="15" hidden="false" customHeight="false" outlineLevel="0" collapsed="false">
      <c r="A31" s="13" t="s">
        <v>47</v>
      </c>
      <c r="B31" s="13" t="s">
        <v>54</v>
      </c>
      <c r="C31" s="13" t="s">
        <v>63</v>
      </c>
      <c r="D31" s="13" t="s">
        <v>50</v>
      </c>
      <c r="E31" s="13" t="s">
        <v>51</v>
      </c>
      <c r="F31" s="14" t="n">
        <v>96337</v>
      </c>
      <c r="G31" s="14" t="n">
        <v>96337</v>
      </c>
      <c r="H31" s="13" t="s">
        <v>52</v>
      </c>
      <c r="I31" s="14" t="n">
        <v>115931</v>
      </c>
      <c r="J31" s="14"/>
      <c r="K31" s="14"/>
      <c r="L31" s="14"/>
      <c r="M31" s="14"/>
      <c r="N31" s="14"/>
      <c r="O31" s="15"/>
      <c r="P31" s="13" t="s">
        <v>63</v>
      </c>
      <c r="Q31" s="13" t="s">
        <v>63</v>
      </c>
      <c r="R31" s="13" t="str">
        <f aca="false">TRIM(LEFT(A31,FIND("/",A31)-1))</f>
        <v>Awareness</v>
      </c>
      <c r="S31" s="13" t="str">
        <f aca="false">LEFT(C31,7)</f>
        <v>2026-07</v>
      </c>
    </row>
    <row r="32" customFormat="false" ht="15" hidden="false" customHeight="false" outlineLevel="0" collapsed="false">
      <c r="A32" s="13" t="s">
        <v>47</v>
      </c>
      <c r="B32" s="13" t="s">
        <v>48</v>
      </c>
      <c r="C32" s="13" t="s">
        <v>64</v>
      </c>
      <c r="D32" s="13" t="s">
        <v>50</v>
      </c>
      <c r="E32" s="13" t="s">
        <v>51</v>
      </c>
      <c r="F32" s="14" t="n">
        <v>82805</v>
      </c>
      <c r="G32" s="14" t="n">
        <v>85459</v>
      </c>
      <c r="H32" s="13" t="s">
        <v>52</v>
      </c>
      <c r="I32" s="14" t="n">
        <v>107038</v>
      </c>
      <c r="J32" s="14"/>
      <c r="K32" s="14"/>
      <c r="L32" s="14"/>
      <c r="M32" s="14"/>
      <c r="N32" s="14"/>
      <c r="O32" s="15"/>
      <c r="P32" s="13" t="s">
        <v>64</v>
      </c>
      <c r="Q32" s="13" t="s">
        <v>64</v>
      </c>
      <c r="R32" s="13" t="str">
        <f aca="false">TRIM(LEFT(A32,FIND("/",A32)-1))</f>
        <v>Awareness</v>
      </c>
      <c r="S32" s="13" t="str">
        <f aca="false">LEFT(C32,7)</f>
        <v>2026-07</v>
      </c>
    </row>
    <row r="33" customFormat="false" ht="15" hidden="false" customHeight="false" outlineLevel="0" collapsed="false">
      <c r="A33" s="13" t="s">
        <v>47</v>
      </c>
      <c r="B33" s="13" t="s">
        <v>53</v>
      </c>
      <c r="C33" s="13" t="s">
        <v>64</v>
      </c>
      <c r="D33" s="13" t="s">
        <v>50</v>
      </c>
      <c r="E33" s="13" t="s">
        <v>51</v>
      </c>
      <c r="F33" s="14" t="n">
        <v>46268</v>
      </c>
      <c r="G33" s="14" t="n">
        <v>46268</v>
      </c>
      <c r="H33" s="13" t="s">
        <v>52</v>
      </c>
      <c r="I33" s="14" t="n">
        <v>56940</v>
      </c>
      <c r="J33" s="14"/>
      <c r="K33" s="14"/>
      <c r="L33" s="14"/>
      <c r="M33" s="14"/>
      <c r="N33" s="14"/>
      <c r="O33" s="15"/>
      <c r="P33" s="13" t="s">
        <v>64</v>
      </c>
      <c r="Q33" s="13" t="s">
        <v>64</v>
      </c>
      <c r="R33" s="13" t="str">
        <f aca="false">TRIM(LEFT(A33,FIND("/",A33)-1))</f>
        <v>Awareness</v>
      </c>
      <c r="S33" s="13" t="str">
        <f aca="false">LEFT(C33,7)</f>
        <v>2026-07</v>
      </c>
    </row>
    <row r="34" customFormat="false" ht="15" hidden="false" customHeight="false" outlineLevel="0" collapsed="false">
      <c r="A34" s="13" t="s">
        <v>47</v>
      </c>
      <c r="B34" s="13" t="s">
        <v>54</v>
      </c>
      <c r="C34" s="13" t="s">
        <v>64</v>
      </c>
      <c r="D34" s="13" t="s">
        <v>50</v>
      </c>
      <c r="E34" s="13" t="s">
        <v>51</v>
      </c>
      <c r="F34" s="14" t="n">
        <v>106737</v>
      </c>
      <c r="G34" s="14" t="n">
        <v>106737</v>
      </c>
      <c r="H34" s="13" t="s">
        <v>52</v>
      </c>
      <c r="I34" s="14" t="n">
        <v>131125</v>
      </c>
      <c r="J34" s="14"/>
      <c r="K34" s="14"/>
      <c r="L34" s="14"/>
      <c r="M34" s="14"/>
      <c r="N34" s="14"/>
      <c r="O34" s="15"/>
      <c r="P34" s="13" t="s">
        <v>64</v>
      </c>
      <c r="Q34" s="13" t="s">
        <v>64</v>
      </c>
      <c r="R34" s="13" t="str">
        <f aca="false">TRIM(LEFT(A34,FIND("/",A34)-1))</f>
        <v>Awareness</v>
      </c>
      <c r="S34" s="13" t="str">
        <f aca="false">LEFT(C34,7)</f>
        <v>2026-07</v>
      </c>
    </row>
    <row r="35" customFormat="false" ht="15" hidden="false" customHeight="false" outlineLevel="0" collapsed="false">
      <c r="A35" s="13" t="s">
        <v>47</v>
      </c>
      <c r="B35" s="13" t="s">
        <v>48</v>
      </c>
      <c r="C35" s="13" t="s">
        <v>65</v>
      </c>
      <c r="D35" s="13" t="s">
        <v>50</v>
      </c>
      <c r="E35" s="13" t="s">
        <v>51</v>
      </c>
      <c r="F35" s="14" t="n">
        <v>16017</v>
      </c>
      <c r="G35" s="14" t="n">
        <v>16017</v>
      </c>
      <c r="H35" s="13" t="s">
        <v>52</v>
      </c>
      <c r="I35" s="14" t="n">
        <v>19515</v>
      </c>
      <c r="J35" s="14"/>
      <c r="K35" s="14"/>
      <c r="L35" s="14"/>
      <c r="M35" s="14"/>
      <c r="N35" s="14"/>
      <c r="O35" s="15"/>
      <c r="P35" s="13" t="s">
        <v>65</v>
      </c>
      <c r="Q35" s="13" t="s">
        <v>65</v>
      </c>
      <c r="R35" s="13" t="str">
        <f aca="false">TRIM(LEFT(A35,FIND("/",A35)-1))</f>
        <v>Awareness</v>
      </c>
      <c r="S35" s="13" t="str">
        <f aca="false">LEFT(C35,7)</f>
        <v>2026-07</v>
      </c>
    </row>
    <row r="36" customFormat="false" ht="15" hidden="false" customHeight="false" outlineLevel="0" collapsed="false">
      <c r="A36" s="13" t="s">
        <v>47</v>
      </c>
      <c r="B36" s="13" t="s">
        <v>53</v>
      </c>
      <c r="C36" s="13" t="s">
        <v>65</v>
      </c>
      <c r="D36" s="13" t="s">
        <v>50</v>
      </c>
      <c r="E36" s="13" t="s">
        <v>51</v>
      </c>
      <c r="F36" s="14" t="n">
        <v>19662</v>
      </c>
      <c r="G36" s="14" t="n">
        <v>19778</v>
      </c>
      <c r="H36" s="13" t="s">
        <v>52</v>
      </c>
      <c r="I36" s="14" t="n">
        <v>24185</v>
      </c>
      <c r="J36" s="14"/>
      <c r="K36" s="14"/>
      <c r="L36" s="14"/>
      <c r="M36" s="14"/>
      <c r="N36" s="14"/>
      <c r="O36" s="15"/>
      <c r="P36" s="13" t="s">
        <v>65</v>
      </c>
      <c r="Q36" s="13" t="s">
        <v>65</v>
      </c>
      <c r="R36" s="13" t="str">
        <f aca="false">TRIM(LEFT(A36,FIND("/",A36)-1))</f>
        <v>Awareness</v>
      </c>
      <c r="S36" s="13" t="str">
        <f aca="false">LEFT(C36,7)</f>
        <v>2026-07</v>
      </c>
    </row>
    <row r="37" customFormat="false" ht="15" hidden="false" customHeight="false" outlineLevel="0" collapsed="false">
      <c r="A37" s="13" t="s">
        <v>47</v>
      </c>
      <c r="B37" s="13" t="s">
        <v>54</v>
      </c>
      <c r="C37" s="13" t="s">
        <v>65</v>
      </c>
      <c r="D37" s="13" t="s">
        <v>50</v>
      </c>
      <c r="E37" s="13" t="s">
        <v>51</v>
      </c>
      <c r="F37" s="14" t="n">
        <v>86114</v>
      </c>
      <c r="G37" s="14" t="n">
        <v>86414</v>
      </c>
      <c r="H37" s="13" t="s">
        <v>52</v>
      </c>
      <c r="I37" s="14" t="n">
        <v>105413</v>
      </c>
      <c r="J37" s="14"/>
      <c r="K37" s="14"/>
      <c r="L37" s="14"/>
      <c r="M37" s="14"/>
      <c r="N37" s="14"/>
      <c r="O37" s="15"/>
      <c r="P37" s="13" t="s">
        <v>65</v>
      </c>
      <c r="Q37" s="13" t="s">
        <v>65</v>
      </c>
      <c r="R37" s="13" t="str">
        <f aca="false">TRIM(LEFT(A37,FIND("/",A37)-1))</f>
        <v>Awareness</v>
      </c>
      <c r="S37" s="13" t="str">
        <f aca="false">LEFT(C37,7)</f>
        <v>2026-07</v>
      </c>
    </row>
    <row r="38" customFormat="false" ht="15" hidden="false" customHeight="false" outlineLevel="0" collapsed="false">
      <c r="A38" s="13" t="s">
        <v>66</v>
      </c>
      <c r="B38" s="13" t="s">
        <v>67</v>
      </c>
      <c r="C38" s="13" t="s">
        <v>68</v>
      </c>
      <c r="D38" s="13" t="s">
        <v>69</v>
      </c>
      <c r="E38" s="13" t="s">
        <v>51</v>
      </c>
      <c r="F38" s="14" t="n">
        <v>61449</v>
      </c>
      <c r="G38" s="14" t="n">
        <v>61449</v>
      </c>
      <c r="H38" s="13" t="s">
        <v>52</v>
      </c>
      <c r="I38" s="14" t="n">
        <v>71151</v>
      </c>
      <c r="J38" s="14" t="n">
        <v>8</v>
      </c>
      <c r="K38" s="14"/>
      <c r="L38" s="14"/>
      <c r="M38" s="14"/>
      <c r="N38" s="14"/>
      <c r="O38" s="15"/>
      <c r="P38" s="13" t="s">
        <v>68</v>
      </c>
      <c r="Q38" s="13" t="s">
        <v>68</v>
      </c>
      <c r="R38" s="13" t="str">
        <f aca="false">TRIM(LEFT(A38,FIND("/",A38)-1))</f>
        <v>Awareness</v>
      </c>
      <c r="S38" s="13" t="str">
        <f aca="false">LEFT(C38,7)</f>
        <v>2026-07</v>
      </c>
    </row>
    <row r="39" customFormat="false" ht="15" hidden="false" customHeight="false" outlineLevel="0" collapsed="false">
      <c r="A39" s="13" t="s">
        <v>66</v>
      </c>
      <c r="B39" s="13" t="s">
        <v>70</v>
      </c>
      <c r="C39" s="13" t="s">
        <v>68</v>
      </c>
      <c r="D39" s="13" t="s">
        <v>69</v>
      </c>
      <c r="E39" s="13" t="s">
        <v>51</v>
      </c>
      <c r="F39" s="14" t="n">
        <v>78328</v>
      </c>
      <c r="G39" s="14" t="n">
        <v>78328</v>
      </c>
      <c r="H39" s="13" t="s">
        <v>52</v>
      </c>
      <c r="I39" s="14" t="n">
        <v>90846</v>
      </c>
      <c r="J39" s="14" t="n">
        <v>9</v>
      </c>
      <c r="K39" s="14"/>
      <c r="L39" s="14"/>
      <c r="M39" s="14"/>
      <c r="N39" s="14"/>
      <c r="O39" s="15"/>
      <c r="P39" s="13" t="s">
        <v>68</v>
      </c>
      <c r="Q39" s="13" t="s">
        <v>68</v>
      </c>
      <c r="R39" s="13" t="str">
        <f aca="false">TRIM(LEFT(A39,FIND("/",A39)-1))</f>
        <v>Awareness</v>
      </c>
      <c r="S39" s="13" t="str">
        <f aca="false">LEFT(C39,7)</f>
        <v>2026-07</v>
      </c>
    </row>
    <row r="40" customFormat="false" ht="15" hidden="false" customHeight="false" outlineLevel="0" collapsed="false">
      <c r="A40" s="13" t="s">
        <v>66</v>
      </c>
      <c r="B40" s="13" t="s">
        <v>71</v>
      </c>
      <c r="C40" s="13" t="s">
        <v>68</v>
      </c>
      <c r="D40" s="13" t="s">
        <v>69</v>
      </c>
      <c r="E40" s="13" t="s">
        <v>51</v>
      </c>
      <c r="F40" s="14" t="n">
        <v>4675</v>
      </c>
      <c r="G40" s="14" t="n">
        <v>4735</v>
      </c>
      <c r="H40" s="13" t="s">
        <v>52</v>
      </c>
      <c r="I40" s="14" t="n">
        <v>5477</v>
      </c>
      <c r="J40" s="14" t="n">
        <v>2</v>
      </c>
      <c r="K40" s="14"/>
      <c r="L40" s="14"/>
      <c r="M40" s="14"/>
      <c r="N40" s="14"/>
      <c r="O40" s="15"/>
      <c r="P40" s="13" t="s">
        <v>68</v>
      </c>
      <c r="Q40" s="13" t="s">
        <v>68</v>
      </c>
      <c r="R40" s="13" t="str">
        <f aca="false">TRIM(LEFT(A40,FIND("/",A40)-1))</f>
        <v>Awareness</v>
      </c>
      <c r="S40" s="13" t="str">
        <f aca="false">LEFT(C40,7)</f>
        <v>2026-07</v>
      </c>
    </row>
    <row r="41" customFormat="false" ht="15" hidden="false" customHeight="false" outlineLevel="0" collapsed="false">
      <c r="A41" s="13" t="s">
        <v>66</v>
      </c>
      <c r="B41" s="13" t="s">
        <v>67</v>
      </c>
      <c r="C41" s="13" t="s">
        <v>72</v>
      </c>
      <c r="D41" s="13" t="s">
        <v>69</v>
      </c>
      <c r="E41" s="13" t="s">
        <v>51</v>
      </c>
      <c r="F41" s="14" t="n">
        <v>29340</v>
      </c>
      <c r="G41" s="14" t="n">
        <v>30125</v>
      </c>
      <c r="H41" s="13" t="s">
        <v>52</v>
      </c>
      <c r="I41" s="14" t="n">
        <v>35299</v>
      </c>
      <c r="J41" s="14" t="n">
        <v>3</v>
      </c>
      <c r="K41" s="14"/>
      <c r="L41" s="14"/>
      <c r="M41" s="14"/>
      <c r="N41" s="14"/>
      <c r="O41" s="15"/>
      <c r="P41" s="13" t="s">
        <v>72</v>
      </c>
      <c r="Q41" s="13" t="s">
        <v>72</v>
      </c>
      <c r="R41" s="13" t="str">
        <f aca="false">TRIM(LEFT(A41,FIND("/",A41)-1))</f>
        <v>Awareness</v>
      </c>
      <c r="S41" s="13" t="str">
        <f aca="false">LEFT(C41,7)</f>
        <v>2026-07</v>
      </c>
    </row>
    <row r="42" customFormat="false" ht="15" hidden="false" customHeight="false" outlineLevel="0" collapsed="false">
      <c r="A42" s="13" t="s">
        <v>66</v>
      </c>
      <c r="B42" s="13" t="s">
        <v>70</v>
      </c>
      <c r="C42" s="13" t="s">
        <v>72</v>
      </c>
      <c r="D42" s="13" t="s">
        <v>69</v>
      </c>
      <c r="E42" s="13" t="s">
        <v>51</v>
      </c>
      <c r="F42" s="14" t="n">
        <v>122910</v>
      </c>
      <c r="G42" s="14" t="n">
        <v>125056</v>
      </c>
      <c r="H42" s="13" t="s">
        <v>52</v>
      </c>
      <c r="I42" s="14" t="n">
        <v>148108</v>
      </c>
      <c r="J42" s="14" t="n">
        <v>20</v>
      </c>
      <c r="K42" s="14"/>
      <c r="L42" s="14"/>
      <c r="M42" s="14"/>
      <c r="N42" s="14"/>
      <c r="O42" s="15"/>
      <c r="P42" s="13" t="s">
        <v>72</v>
      </c>
      <c r="Q42" s="13" t="s">
        <v>72</v>
      </c>
      <c r="R42" s="13" t="str">
        <f aca="false">TRIM(LEFT(A42,FIND("/",A42)-1))</f>
        <v>Awareness</v>
      </c>
      <c r="S42" s="13" t="str">
        <f aca="false">LEFT(C42,7)</f>
        <v>2026-07</v>
      </c>
    </row>
    <row r="43" customFormat="false" ht="15" hidden="false" customHeight="false" outlineLevel="0" collapsed="false">
      <c r="A43" s="13" t="s">
        <v>66</v>
      </c>
      <c r="B43" s="13" t="s">
        <v>71</v>
      </c>
      <c r="C43" s="13" t="s">
        <v>72</v>
      </c>
      <c r="D43" s="13" t="s">
        <v>69</v>
      </c>
      <c r="E43" s="13" t="s">
        <v>51</v>
      </c>
      <c r="F43" s="14" t="n">
        <v>1988</v>
      </c>
      <c r="G43" s="14" t="n">
        <v>2044</v>
      </c>
      <c r="H43" s="13" t="s">
        <v>52</v>
      </c>
      <c r="I43" s="14" t="n">
        <v>2421</v>
      </c>
      <c r="J43" s="14"/>
      <c r="K43" s="14"/>
      <c r="L43" s="14"/>
      <c r="M43" s="14"/>
      <c r="N43" s="14"/>
      <c r="O43" s="15"/>
      <c r="P43" s="13" t="s">
        <v>72</v>
      </c>
      <c r="Q43" s="13" t="s">
        <v>72</v>
      </c>
      <c r="R43" s="13" t="str">
        <f aca="false">TRIM(LEFT(A43,FIND("/",A43)-1))</f>
        <v>Awareness</v>
      </c>
      <c r="S43" s="13" t="str">
        <f aca="false">LEFT(C43,7)</f>
        <v>2026-07</v>
      </c>
    </row>
    <row r="44" customFormat="false" ht="15" hidden="false" customHeight="false" outlineLevel="0" collapsed="false">
      <c r="A44" s="13" t="s">
        <v>73</v>
      </c>
      <c r="B44" s="13" t="s">
        <v>74</v>
      </c>
      <c r="C44" s="13" t="s">
        <v>72</v>
      </c>
      <c r="D44" s="13" t="s">
        <v>69</v>
      </c>
      <c r="E44" s="13" t="s">
        <v>51</v>
      </c>
      <c r="F44" s="14" t="n">
        <v>2424</v>
      </c>
      <c r="G44" s="14" t="n">
        <v>2555</v>
      </c>
      <c r="H44" s="13" t="s">
        <v>52</v>
      </c>
      <c r="I44" s="14" t="n">
        <v>32562</v>
      </c>
      <c r="J44" s="14" t="n">
        <v>40</v>
      </c>
      <c r="K44" s="14" t="n">
        <v>1</v>
      </c>
      <c r="L44" s="14" t="n">
        <v>201868</v>
      </c>
      <c r="M44" s="14" t="n">
        <v>6</v>
      </c>
      <c r="N44" s="14" t="n">
        <v>1044453</v>
      </c>
      <c r="O44" s="15" t="n">
        <v>6.19949635</v>
      </c>
      <c r="P44" s="13" t="s">
        <v>72</v>
      </c>
      <c r="Q44" s="13" t="s">
        <v>72</v>
      </c>
      <c r="R44" s="13" t="str">
        <f aca="false">TRIM(LEFT(A44,FIND("/",A44)-1))</f>
        <v>Sales</v>
      </c>
      <c r="S44" s="13" t="str">
        <f aca="false">LEFT(C44,7)</f>
        <v>2026-07</v>
      </c>
    </row>
    <row r="45" customFormat="false" ht="15" hidden="false" customHeight="false" outlineLevel="0" collapsed="false">
      <c r="A45" s="13" t="s">
        <v>75</v>
      </c>
      <c r="B45" s="13" t="s">
        <v>76</v>
      </c>
      <c r="C45" s="13" t="s">
        <v>72</v>
      </c>
      <c r="D45" s="13" t="s">
        <v>69</v>
      </c>
      <c r="E45" s="13" t="s">
        <v>51</v>
      </c>
      <c r="F45" s="14" t="n">
        <v>66691</v>
      </c>
      <c r="G45" s="14" t="n">
        <v>73213</v>
      </c>
      <c r="H45" s="13" t="s">
        <v>52</v>
      </c>
      <c r="I45" s="14" t="n">
        <v>247982</v>
      </c>
      <c r="J45" s="14" t="n">
        <v>1171</v>
      </c>
      <c r="K45" s="14"/>
      <c r="L45" s="14"/>
      <c r="M45" s="14" t="n">
        <v>1</v>
      </c>
      <c r="N45" s="14" t="n">
        <v>142672</v>
      </c>
      <c r="O45" s="15"/>
      <c r="P45" s="13" t="s">
        <v>72</v>
      </c>
      <c r="Q45" s="13" t="s">
        <v>72</v>
      </c>
      <c r="R45" s="13" t="str">
        <f aca="false">TRIM(LEFT(A45,FIND("/",A45)-1))</f>
        <v>Traffic</v>
      </c>
      <c r="S45" s="13" t="str">
        <f aca="false">LEFT(C45,7)</f>
        <v>2026-07</v>
      </c>
    </row>
    <row r="46" customFormat="false" ht="15" hidden="false" customHeight="false" outlineLevel="0" collapsed="false">
      <c r="A46" s="13" t="s">
        <v>75</v>
      </c>
      <c r="B46" s="13" t="s">
        <v>77</v>
      </c>
      <c r="C46" s="13" t="s">
        <v>72</v>
      </c>
      <c r="D46" s="13" t="s">
        <v>69</v>
      </c>
      <c r="E46" s="13" t="s">
        <v>51</v>
      </c>
      <c r="F46" s="14" t="n">
        <v>372</v>
      </c>
      <c r="G46" s="14" t="n">
        <v>398</v>
      </c>
      <c r="H46" s="13" t="s">
        <v>52</v>
      </c>
      <c r="I46" s="14" t="n">
        <v>1558</v>
      </c>
      <c r="J46" s="14" t="n">
        <v>11</v>
      </c>
      <c r="K46" s="14"/>
      <c r="L46" s="14"/>
      <c r="M46" s="14"/>
      <c r="N46" s="14"/>
      <c r="O46" s="15"/>
      <c r="P46" s="13" t="s">
        <v>72</v>
      </c>
      <c r="Q46" s="13" t="s">
        <v>72</v>
      </c>
      <c r="R46" s="13" t="str">
        <f aca="false">TRIM(LEFT(A46,FIND("/",A46)-1))</f>
        <v>Traffic</v>
      </c>
      <c r="S46" s="13" t="str">
        <f aca="false">LEFT(C46,7)</f>
        <v>2026-07</v>
      </c>
    </row>
    <row r="47" customFormat="false" ht="15" hidden="false" customHeight="false" outlineLevel="0" collapsed="false">
      <c r="A47" s="13" t="s">
        <v>66</v>
      </c>
      <c r="B47" s="13" t="s">
        <v>67</v>
      </c>
      <c r="C47" s="13" t="s">
        <v>78</v>
      </c>
      <c r="D47" s="13" t="s">
        <v>69</v>
      </c>
      <c r="E47" s="13" t="s">
        <v>51</v>
      </c>
      <c r="F47" s="14" t="n">
        <v>149086</v>
      </c>
      <c r="G47" s="14" t="n">
        <v>150948</v>
      </c>
      <c r="H47" s="13" t="s">
        <v>52</v>
      </c>
      <c r="I47" s="14" t="n">
        <v>195034</v>
      </c>
      <c r="J47" s="14" t="n">
        <v>21</v>
      </c>
      <c r="K47" s="14"/>
      <c r="L47" s="14"/>
      <c r="M47" s="14"/>
      <c r="N47" s="14"/>
      <c r="O47" s="15"/>
      <c r="P47" s="13" t="s">
        <v>78</v>
      </c>
      <c r="Q47" s="13" t="s">
        <v>78</v>
      </c>
      <c r="R47" s="13" t="str">
        <f aca="false">TRIM(LEFT(A47,FIND("/",A47)-1))</f>
        <v>Awareness</v>
      </c>
      <c r="S47" s="13" t="str">
        <f aca="false">LEFT(C47,7)</f>
        <v>2026-07</v>
      </c>
    </row>
    <row r="48" customFormat="false" ht="15" hidden="false" customHeight="false" outlineLevel="0" collapsed="false">
      <c r="A48" s="13" t="s">
        <v>66</v>
      </c>
      <c r="B48" s="13" t="s">
        <v>70</v>
      </c>
      <c r="C48" s="13" t="s">
        <v>78</v>
      </c>
      <c r="D48" s="13" t="s">
        <v>69</v>
      </c>
      <c r="E48" s="13" t="s">
        <v>51</v>
      </c>
      <c r="F48" s="14" t="n">
        <v>172360</v>
      </c>
      <c r="G48" s="14" t="n">
        <v>172360</v>
      </c>
      <c r="H48" s="13" t="s">
        <v>52</v>
      </c>
      <c r="I48" s="14" t="n">
        <v>222996</v>
      </c>
      <c r="J48" s="14" t="n">
        <v>37</v>
      </c>
      <c r="K48" s="14"/>
      <c r="L48" s="14"/>
      <c r="M48" s="14"/>
      <c r="N48" s="14"/>
      <c r="O48" s="15"/>
      <c r="P48" s="13" t="s">
        <v>78</v>
      </c>
      <c r="Q48" s="13" t="s">
        <v>78</v>
      </c>
      <c r="R48" s="13" t="str">
        <f aca="false">TRIM(LEFT(A48,FIND("/",A48)-1))</f>
        <v>Awareness</v>
      </c>
      <c r="S48" s="13" t="str">
        <f aca="false">LEFT(C48,7)</f>
        <v>2026-07</v>
      </c>
    </row>
    <row r="49" customFormat="false" ht="15" hidden="false" customHeight="false" outlineLevel="0" collapsed="false">
      <c r="A49" s="13" t="s">
        <v>66</v>
      </c>
      <c r="B49" s="13" t="s">
        <v>71</v>
      </c>
      <c r="C49" s="13" t="s">
        <v>78</v>
      </c>
      <c r="D49" s="13" t="s">
        <v>69</v>
      </c>
      <c r="E49" s="13" t="s">
        <v>51</v>
      </c>
      <c r="F49" s="14" t="n">
        <v>4763</v>
      </c>
      <c r="G49" s="14" t="n">
        <v>4791</v>
      </c>
      <c r="H49" s="13" t="s">
        <v>52</v>
      </c>
      <c r="I49" s="14" t="n">
        <v>6227</v>
      </c>
      <c r="J49" s="14"/>
      <c r="K49" s="14"/>
      <c r="L49" s="14"/>
      <c r="M49" s="14"/>
      <c r="N49" s="14"/>
      <c r="O49" s="15"/>
      <c r="P49" s="13" t="s">
        <v>78</v>
      </c>
      <c r="Q49" s="13" t="s">
        <v>78</v>
      </c>
      <c r="R49" s="13" t="str">
        <f aca="false">TRIM(LEFT(A49,FIND("/",A49)-1))</f>
        <v>Awareness</v>
      </c>
      <c r="S49" s="13" t="str">
        <f aca="false">LEFT(C49,7)</f>
        <v>2026-07</v>
      </c>
    </row>
    <row r="50" customFormat="false" ht="15" hidden="false" customHeight="false" outlineLevel="0" collapsed="false">
      <c r="A50" s="13" t="s">
        <v>73</v>
      </c>
      <c r="B50" s="13" t="s">
        <v>74</v>
      </c>
      <c r="C50" s="13" t="s">
        <v>78</v>
      </c>
      <c r="D50" s="13" t="s">
        <v>69</v>
      </c>
      <c r="E50" s="13" t="s">
        <v>51</v>
      </c>
      <c r="F50" s="14" t="n">
        <v>8399</v>
      </c>
      <c r="G50" s="14" t="n">
        <v>9728</v>
      </c>
      <c r="H50" s="13" t="s">
        <v>52</v>
      </c>
      <c r="I50" s="14" t="n">
        <v>205990</v>
      </c>
      <c r="J50" s="14" t="n">
        <v>158</v>
      </c>
      <c r="K50" s="14" t="n">
        <v>1</v>
      </c>
      <c r="L50" s="14" t="n">
        <v>172868</v>
      </c>
      <c r="M50" s="14" t="n">
        <v>29</v>
      </c>
      <c r="N50" s="14" t="n">
        <v>4923984</v>
      </c>
      <c r="O50" s="15" t="n">
        <v>0.83920579</v>
      </c>
      <c r="P50" s="13" t="s">
        <v>78</v>
      </c>
      <c r="Q50" s="13" t="s">
        <v>78</v>
      </c>
      <c r="R50" s="13" t="str">
        <f aca="false">TRIM(LEFT(A50,FIND("/",A50)-1))</f>
        <v>Sales</v>
      </c>
      <c r="S50" s="13" t="str">
        <f aca="false">LEFT(C50,7)</f>
        <v>2026-07</v>
      </c>
    </row>
    <row r="51" customFormat="false" ht="15" hidden="false" customHeight="false" outlineLevel="0" collapsed="false">
      <c r="A51" s="13" t="s">
        <v>75</v>
      </c>
      <c r="B51" s="13" t="s">
        <v>76</v>
      </c>
      <c r="C51" s="13" t="s">
        <v>78</v>
      </c>
      <c r="D51" s="13" t="s">
        <v>69</v>
      </c>
      <c r="E51" s="13" t="s">
        <v>51</v>
      </c>
      <c r="F51" s="14" t="n">
        <v>57112</v>
      </c>
      <c r="G51" s="14" t="n">
        <v>69682</v>
      </c>
      <c r="H51" s="13" t="s">
        <v>52</v>
      </c>
      <c r="I51" s="14" t="n">
        <v>229087</v>
      </c>
      <c r="J51" s="14" t="n">
        <v>1600</v>
      </c>
      <c r="K51" s="14"/>
      <c r="L51" s="14"/>
      <c r="M51" s="14" t="n">
        <v>3</v>
      </c>
      <c r="N51" s="14" t="n">
        <v>450408</v>
      </c>
      <c r="O51" s="15"/>
      <c r="P51" s="13" t="s">
        <v>78</v>
      </c>
      <c r="Q51" s="13" t="s">
        <v>78</v>
      </c>
      <c r="R51" s="13" t="str">
        <f aca="false">TRIM(LEFT(A51,FIND("/",A51)-1))</f>
        <v>Traffic</v>
      </c>
      <c r="S51" s="13" t="str">
        <f aca="false">LEFT(C51,7)</f>
        <v>2026-07</v>
      </c>
    </row>
    <row r="52" customFormat="false" ht="15" hidden="false" customHeight="false" outlineLevel="0" collapsed="false">
      <c r="A52" s="13" t="s">
        <v>75</v>
      </c>
      <c r="B52" s="13" t="s">
        <v>77</v>
      </c>
      <c r="C52" s="13" t="s">
        <v>78</v>
      </c>
      <c r="D52" s="13" t="s">
        <v>69</v>
      </c>
      <c r="E52" s="13" t="s">
        <v>51</v>
      </c>
      <c r="F52" s="14" t="n">
        <v>175</v>
      </c>
      <c r="G52" s="14" t="n">
        <v>191</v>
      </c>
      <c r="H52" s="13" t="s">
        <v>52</v>
      </c>
      <c r="I52" s="14" t="n">
        <v>852</v>
      </c>
      <c r="J52" s="14" t="n">
        <v>10</v>
      </c>
      <c r="K52" s="14"/>
      <c r="L52" s="14"/>
      <c r="M52" s="14"/>
      <c r="N52" s="14"/>
      <c r="O52" s="15"/>
      <c r="P52" s="13" t="s">
        <v>78</v>
      </c>
      <c r="Q52" s="13" t="s">
        <v>78</v>
      </c>
      <c r="R52" s="13" t="str">
        <f aca="false">TRIM(LEFT(A52,FIND("/",A52)-1))</f>
        <v>Traffic</v>
      </c>
      <c r="S52" s="13" t="str">
        <f aca="false">LEFT(C52,7)</f>
        <v>2026-07</v>
      </c>
    </row>
    <row r="53" customFormat="false" ht="15" hidden="false" customHeight="false" outlineLevel="0" collapsed="false">
      <c r="A53" s="13" t="s">
        <v>75</v>
      </c>
      <c r="B53" s="13" t="s">
        <v>79</v>
      </c>
      <c r="C53" s="13" t="s">
        <v>78</v>
      </c>
      <c r="D53" s="13" t="s">
        <v>69</v>
      </c>
      <c r="E53" s="13" t="s">
        <v>51</v>
      </c>
      <c r="F53" s="14" t="n">
        <v>1312</v>
      </c>
      <c r="G53" s="14" t="n">
        <v>1366</v>
      </c>
      <c r="H53" s="13" t="s">
        <v>52</v>
      </c>
      <c r="I53" s="14" t="n">
        <v>5687</v>
      </c>
      <c r="J53" s="14" t="n">
        <v>46</v>
      </c>
      <c r="K53" s="14"/>
      <c r="L53" s="14"/>
      <c r="M53" s="14"/>
      <c r="N53" s="14"/>
      <c r="O53" s="15"/>
      <c r="P53" s="13" t="s">
        <v>78</v>
      </c>
      <c r="Q53" s="13" t="s">
        <v>78</v>
      </c>
      <c r="R53" s="13" t="str">
        <f aca="false">TRIM(LEFT(A53,FIND("/",A53)-1))</f>
        <v>Traffic</v>
      </c>
      <c r="S53" s="13" t="str">
        <f aca="false">LEFT(C53,7)</f>
        <v>2026-07</v>
      </c>
    </row>
    <row r="54" customFormat="false" ht="15" hidden="false" customHeight="false" outlineLevel="0" collapsed="false">
      <c r="A54" s="13" t="s">
        <v>66</v>
      </c>
      <c r="B54" s="13" t="s">
        <v>67</v>
      </c>
      <c r="C54" s="13" t="s">
        <v>80</v>
      </c>
      <c r="D54" s="13" t="s">
        <v>69</v>
      </c>
      <c r="E54" s="13" t="s">
        <v>51</v>
      </c>
      <c r="F54" s="14" t="n">
        <v>124882</v>
      </c>
      <c r="G54" s="14" t="n">
        <v>126429</v>
      </c>
      <c r="H54" s="13" t="s">
        <v>52</v>
      </c>
      <c r="I54" s="14" t="n">
        <v>166945</v>
      </c>
      <c r="J54" s="14" t="n">
        <v>12</v>
      </c>
      <c r="K54" s="14"/>
      <c r="L54" s="14"/>
      <c r="M54" s="14"/>
      <c r="N54" s="14"/>
      <c r="O54" s="15"/>
      <c r="P54" s="13" t="s">
        <v>80</v>
      </c>
      <c r="Q54" s="13" t="s">
        <v>80</v>
      </c>
      <c r="R54" s="13" t="str">
        <f aca="false">TRIM(LEFT(A54,FIND("/",A54)-1))</f>
        <v>Awareness</v>
      </c>
      <c r="S54" s="13" t="str">
        <f aca="false">LEFT(C54,7)</f>
        <v>2026-07</v>
      </c>
    </row>
    <row r="55" customFormat="false" ht="15" hidden="false" customHeight="false" outlineLevel="0" collapsed="false">
      <c r="A55" s="13" t="s">
        <v>66</v>
      </c>
      <c r="B55" s="13" t="s">
        <v>70</v>
      </c>
      <c r="C55" s="13" t="s">
        <v>80</v>
      </c>
      <c r="D55" s="13" t="s">
        <v>69</v>
      </c>
      <c r="E55" s="13" t="s">
        <v>51</v>
      </c>
      <c r="F55" s="14" t="n">
        <v>54748</v>
      </c>
      <c r="G55" s="14" t="n">
        <v>54980</v>
      </c>
      <c r="H55" s="13" t="s">
        <v>52</v>
      </c>
      <c r="I55" s="14" t="n">
        <v>72444</v>
      </c>
      <c r="J55" s="14" t="n">
        <v>7</v>
      </c>
      <c r="K55" s="14"/>
      <c r="L55" s="14"/>
      <c r="M55" s="14"/>
      <c r="N55" s="14"/>
      <c r="O55" s="15"/>
      <c r="P55" s="13" t="s">
        <v>80</v>
      </c>
      <c r="Q55" s="13" t="s">
        <v>80</v>
      </c>
      <c r="R55" s="13" t="str">
        <f aca="false">TRIM(LEFT(A55,FIND("/",A55)-1))</f>
        <v>Awareness</v>
      </c>
      <c r="S55" s="13" t="str">
        <f aca="false">LEFT(C55,7)</f>
        <v>2026-07</v>
      </c>
    </row>
    <row r="56" customFormat="false" ht="15" hidden="false" customHeight="false" outlineLevel="0" collapsed="false">
      <c r="A56" s="13" t="s">
        <v>66</v>
      </c>
      <c r="B56" s="13" t="s">
        <v>71</v>
      </c>
      <c r="C56" s="13" t="s">
        <v>80</v>
      </c>
      <c r="D56" s="13" t="s">
        <v>69</v>
      </c>
      <c r="E56" s="13" t="s">
        <v>51</v>
      </c>
      <c r="F56" s="14" t="n">
        <v>4359</v>
      </c>
      <c r="G56" s="14" t="n">
        <v>4395</v>
      </c>
      <c r="H56" s="13" t="s">
        <v>52</v>
      </c>
      <c r="I56" s="14" t="n">
        <v>5800</v>
      </c>
      <c r="J56" s="14"/>
      <c r="K56" s="14"/>
      <c r="L56" s="14"/>
      <c r="M56" s="14"/>
      <c r="N56" s="14"/>
      <c r="O56" s="15"/>
      <c r="P56" s="13" t="s">
        <v>80</v>
      </c>
      <c r="Q56" s="13" t="s">
        <v>80</v>
      </c>
      <c r="R56" s="13" t="str">
        <f aca="false">TRIM(LEFT(A56,FIND("/",A56)-1))</f>
        <v>Awareness</v>
      </c>
      <c r="S56" s="13" t="str">
        <f aca="false">LEFT(C56,7)</f>
        <v>2026-07</v>
      </c>
    </row>
    <row r="57" customFormat="false" ht="15" hidden="false" customHeight="false" outlineLevel="0" collapsed="false">
      <c r="A57" s="13" t="s">
        <v>73</v>
      </c>
      <c r="B57" s="13" t="s">
        <v>74</v>
      </c>
      <c r="C57" s="13" t="s">
        <v>80</v>
      </c>
      <c r="D57" s="13" t="s">
        <v>69</v>
      </c>
      <c r="E57" s="13" t="s">
        <v>51</v>
      </c>
      <c r="F57" s="14" t="n">
        <v>11805</v>
      </c>
      <c r="G57" s="14" t="n">
        <v>15306</v>
      </c>
      <c r="H57" s="13" t="s">
        <v>52</v>
      </c>
      <c r="I57" s="14" t="n">
        <v>319273</v>
      </c>
      <c r="J57" s="14" t="n">
        <v>339</v>
      </c>
      <c r="K57" s="14" t="n">
        <v>3</v>
      </c>
      <c r="L57" s="14" t="n">
        <v>698590</v>
      </c>
      <c r="M57" s="14" t="n">
        <v>47</v>
      </c>
      <c r="N57" s="14" t="n">
        <v>7880260</v>
      </c>
      <c r="O57" s="15" t="n">
        <v>2.18806476</v>
      </c>
      <c r="P57" s="13" t="s">
        <v>80</v>
      </c>
      <c r="Q57" s="13" t="s">
        <v>80</v>
      </c>
      <c r="R57" s="13" t="str">
        <f aca="false">TRIM(LEFT(A57,FIND("/",A57)-1))</f>
        <v>Sales</v>
      </c>
      <c r="S57" s="13" t="str">
        <f aca="false">LEFT(C57,7)</f>
        <v>2026-07</v>
      </c>
    </row>
    <row r="58" customFormat="false" ht="15" hidden="false" customHeight="false" outlineLevel="0" collapsed="false">
      <c r="A58" s="13" t="s">
        <v>75</v>
      </c>
      <c r="B58" s="13" t="s">
        <v>76</v>
      </c>
      <c r="C58" s="13" t="s">
        <v>80</v>
      </c>
      <c r="D58" s="13" t="s">
        <v>69</v>
      </c>
      <c r="E58" s="13" t="s">
        <v>51</v>
      </c>
      <c r="F58" s="14" t="n">
        <v>87435</v>
      </c>
      <c r="G58" s="14" t="n">
        <v>117364</v>
      </c>
      <c r="H58" s="13" t="s">
        <v>52</v>
      </c>
      <c r="I58" s="14" t="n">
        <v>311941</v>
      </c>
      <c r="J58" s="14" t="n">
        <v>2307</v>
      </c>
      <c r="K58" s="14"/>
      <c r="L58" s="14"/>
      <c r="M58" s="14" t="n">
        <v>3</v>
      </c>
      <c r="N58" s="14" t="n">
        <v>553530</v>
      </c>
      <c r="O58" s="15"/>
      <c r="P58" s="13" t="s">
        <v>80</v>
      </c>
      <c r="Q58" s="13" t="s">
        <v>80</v>
      </c>
      <c r="R58" s="13" t="str">
        <f aca="false">TRIM(LEFT(A58,FIND("/",A58)-1))</f>
        <v>Traffic</v>
      </c>
      <c r="S58" s="13" t="str">
        <f aca="false">LEFT(C58,7)</f>
        <v>2026-07</v>
      </c>
    </row>
    <row r="59" customFormat="false" ht="15" hidden="false" customHeight="false" outlineLevel="0" collapsed="false">
      <c r="A59" s="13" t="s">
        <v>75</v>
      </c>
      <c r="B59" s="13" t="s">
        <v>77</v>
      </c>
      <c r="C59" s="13" t="s">
        <v>80</v>
      </c>
      <c r="D59" s="13" t="s">
        <v>69</v>
      </c>
      <c r="E59" s="13" t="s">
        <v>51</v>
      </c>
      <c r="F59" s="14" t="n">
        <v>305</v>
      </c>
      <c r="G59" s="14" t="n">
        <v>323</v>
      </c>
      <c r="H59" s="13" t="s">
        <v>52</v>
      </c>
      <c r="I59" s="14" t="n">
        <v>1207</v>
      </c>
      <c r="J59" s="14" t="n">
        <v>6</v>
      </c>
      <c r="K59" s="14"/>
      <c r="L59" s="14"/>
      <c r="M59" s="14"/>
      <c r="N59" s="14"/>
      <c r="O59" s="15"/>
      <c r="P59" s="13" t="s">
        <v>80</v>
      </c>
      <c r="Q59" s="13" t="s">
        <v>80</v>
      </c>
      <c r="R59" s="13" t="str">
        <f aca="false">TRIM(LEFT(A59,FIND("/",A59)-1))</f>
        <v>Traffic</v>
      </c>
      <c r="S59" s="13" t="str">
        <f aca="false">LEFT(C59,7)</f>
        <v>2026-07</v>
      </c>
    </row>
    <row r="60" customFormat="false" ht="15" hidden="false" customHeight="false" outlineLevel="0" collapsed="false">
      <c r="A60" s="13" t="s">
        <v>75</v>
      </c>
      <c r="B60" s="13" t="s">
        <v>79</v>
      </c>
      <c r="C60" s="13" t="s">
        <v>80</v>
      </c>
      <c r="D60" s="13" t="s">
        <v>69</v>
      </c>
      <c r="E60" s="13" t="s">
        <v>51</v>
      </c>
      <c r="F60" s="14" t="n">
        <v>1725</v>
      </c>
      <c r="G60" s="14" t="n">
        <v>1905</v>
      </c>
      <c r="H60" s="13" t="s">
        <v>52</v>
      </c>
      <c r="I60" s="14" t="n">
        <v>5753</v>
      </c>
      <c r="J60" s="14" t="n">
        <v>57</v>
      </c>
      <c r="K60" s="14"/>
      <c r="L60" s="14"/>
      <c r="M60" s="14"/>
      <c r="N60" s="14"/>
      <c r="O60" s="15"/>
      <c r="P60" s="13" t="s">
        <v>80</v>
      </c>
      <c r="Q60" s="13" t="s">
        <v>80</v>
      </c>
      <c r="R60" s="13" t="str">
        <f aca="false">TRIM(LEFT(A60,FIND("/",A60)-1))</f>
        <v>Traffic</v>
      </c>
      <c r="S60" s="13" t="str">
        <f aca="false">LEFT(C60,7)</f>
        <v>2026-07</v>
      </c>
    </row>
    <row r="61" customFormat="false" ht="15" hidden="false" customHeight="false" outlineLevel="0" collapsed="false">
      <c r="A61" s="13" t="s">
        <v>66</v>
      </c>
      <c r="B61" s="13" t="s">
        <v>67</v>
      </c>
      <c r="C61" s="13" t="s">
        <v>81</v>
      </c>
      <c r="D61" s="13" t="s">
        <v>69</v>
      </c>
      <c r="E61" s="13" t="s">
        <v>51</v>
      </c>
      <c r="F61" s="14" t="n">
        <v>159595</v>
      </c>
      <c r="G61" s="14" t="n">
        <v>159595</v>
      </c>
      <c r="H61" s="13" t="s">
        <v>52</v>
      </c>
      <c r="I61" s="14" t="n">
        <v>200802</v>
      </c>
      <c r="J61" s="14" t="n">
        <v>39</v>
      </c>
      <c r="K61" s="14"/>
      <c r="L61" s="14"/>
      <c r="M61" s="14"/>
      <c r="N61" s="14"/>
      <c r="O61" s="15"/>
      <c r="P61" s="13" t="s">
        <v>81</v>
      </c>
      <c r="Q61" s="13" t="s">
        <v>81</v>
      </c>
      <c r="R61" s="13" t="str">
        <f aca="false">TRIM(LEFT(A61,FIND("/",A61)-1))</f>
        <v>Awareness</v>
      </c>
      <c r="S61" s="13" t="str">
        <f aca="false">LEFT(C61,7)</f>
        <v>2026-07</v>
      </c>
    </row>
    <row r="62" customFormat="false" ht="15" hidden="false" customHeight="false" outlineLevel="0" collapsed="false">
      <c r="A62" s="13" t="s">
        <v>66</v>
      </c>
      <c r="B62" s="13" t="s">
        <v>70</v>
      </c>
      <c r="C62" s="13" t="s">
        <v>81</v>
      </c>
      <c r="D62" s="13" t="s">
        <v>69</v>
      </c>
      <c r="E62" s="13" t="s">
        <v>51</v>
      </c>
      <c r="F62" s="14" t="n">
        <v>28129</v>
      </c>
      <c r="G62" s="14" t="n">
        <v>28129</v>
      </c>
      <c r="H62" s="13" t="s">
        <v>52</v>
      </c>
      <c r="I62" s="14" t="n">
        <v>35274</v>
      </c>
      <c r="J62" s="14" t="n">
        <v>6</v>
      </c>
      <c r="K62" s="14"/>
      <c r="L62" s="14"/>
      <c r="M62" s="14"/>
      <c r="N62" s="14"/>
      <c r="O62" s="15"/>
      <c r="P62" s="13" t="s">
        <v>81</v>
      </c>
      <c r="Q62" s="13" t="s">
        <v>81</v>
      </c>
      <c r="R62" s="13" t="str">
        <f aca="false">TRIM(LEFT(A62,FIND("/",A62)-1))</f>
        <v>Awareness</v>
      </c>
      <c r="S62" s="13" t="str">
        <f aca="false">LEFT(C62,7)</f>
        <v>2026-07</v>
      </c>
    </row>
    <row r="63" customFormat="false" ht="15" hidden="false" customHeight="false" outlineLevel="0" collapsed="false">
      <c r="A63" s="13" t="s">
        <v>66</v>
      </c>
      <c r="B63" s="13" t="s">
        <v>71</v>
      </c>
      <c r="C63" s="13" t="s">
        <v>81</v>
      </c>
      <c r="D63" s="13" t="s">
        <v>69</v>
      </c>
      <c r="E63" s="13" t="s">
        <v>51</v>
      </c>
      <c r="F63" s="14" t="n">
        <v>24014</v>
      </c>
      <c r="G63" s="14" t="n">
        <v>24205</v>
      </c>
      <c r="H63" s="13" t="s">
        <v>52</v>
      </c>
      <c r="I63" s="14" t="n">
        <v>30526</v>
      </c>
      <c r="J63" s="14" t="n">
        <v>8</v>
      </c>
      <c r="K63" s="14"/>
      <c r="L63" s="14"/>
      <c r="M63" s="14"/>
      <c r="N63" s="14"/>
      <c r="O63" s="15"/>
      <c r="P63" s="13" t="s">
        <v>81</v>
      </c>
      <c r="Q63" s="13" t="s">
        <v>81</v>
      </c>
      <c r="R63" s="13" t="str">
        <f aca="false">TRIM(LEFT(A63,FIND("/",A63)-1))</f>
        <v>Awareness</v>
      </c>
      <c r="S63" s="13" t="str">
        <f aca="false">LEFT(C63,7)</f>
        <v>2026-07</v>
      </c>
    </row>
    <row r="64" customFormat="false" ht="15" hidden="false" customHeight="false" outlineLevel="0" collapsed="false">
      <c r="A64" s="13" t="s">
        <v>73</v>
      </c>
      <c r="B64" s="13" t="s">
        <v>74</v>
      </c>
      <c r="C64" s="13" t="s">
        <v>81</v>
      </c>
      <c r="D64" s="13" t="s">
        <v>69</v>
      </c>
      <c r="E64" s="13" t="s">
        <v>51</v>
      </c>
      <c r="F64" s="14" t="n">
        <v>8570</v>
      </c>
      <c r="G64" s="14" t="n">
        <v>10407</v>
      </c>
      <c r="H64" s="13" t="s">
        <v>52</v>
      </c>
      <c r="I64" s="14" t="n">
        <v>206847</v>
      </c>
      <c r="J64" s="14" t="n">
        <v>241</v>
      </c>
      <c r="K64" s="14" t="n">
        <v>1</v>
      </c>
      <c r="L64" s="14" t="n">
        <v>119659</v>
      </c>
      <c r="M64" s="14" t="n">
        <v>27</v>
      </c>
      <c r="N64" s="14" t="n">
        <v>4492574</v>
      </c>
      <c r="O64" s="15" t="n">
        <v>0.57849038</v>
      </c>
      <c r="P64" s="13" t="s">
        <v>81</v>
      </c>
      <c r="Q64" s="13" t="s">
        <v>81</v>
      </c>
      <c r="R64" s="13" t="str">
        <f aca="false">TRIM(LEFT(A64,FIND("/",A64)-1))</f>
        <v>Sales</v>
      </c>
      <c r="S64" s="13" t="str">
        <f aca="false">LEFT(C64,7)</f>
        <v>2026-07</v>
      </c>
    </row>
    <row r="65" customFormat="false" ht="15" hidden="false" customHeight="false" outlineLevel="0" collapsed="false">
      <c r="A65" s="13" t="s">
        <v>75</v>
      </c>
      <c r="B65" s="13" t="s">
        <v>76</v>
      </c>
      <c r="C65" s="13" t="s">
        <v>81</v>
      </c>
      <c r="D65" s="13" t="s">
        <v>69</v>
      </c>
      <c r="E65" s="13" t="s">
        <v>51</v>
      </c>
      <c r="F65" s="14" t="n">
        <v>89974</v>
      </c>
      <c r="G65" s="14" t="n">
        <v>113559</v>
      </c>
      <c r="H65" s="13" t="s">
        <v>52</v>
      </c>
      <c r="I65" s="14" t="n">
        <v>285747</v>
      </c>
      <c r="J65" s="14" t="n">
        <v>2230</v>
      </c>
      <c r="K65" s="14"/>
      <c r="L65" s="14"/>
      <c r="M65" s="14" t="n">
        <v>4</v>
      </c>
      <c r="N65" s="14" t="n">
        <v>613502</v>
      </c>
      <c r="O65" s="15"/>
      <c r="P65" s="13" t="s">
        <v>81</v>
      </c>
      <c r="Q65" s="13" t="s">
        <v>81</v>
      </c>
      <c r="R65" s="13" t="str">
        <f aca="false">TRIM(LEFT(A65,FIND("/",A65)-1))</f>
        <v>Traffic</v>
      </c>
      <c r="S65" s="13" t="str">
        <f aca="false">LEFT(C65,7)</f>
        <v>2026-07</v>
      </c>
    </row>
    <row r="66" customFormat="false" ht="15" hidden="false" customHeight="false" outlineLevel="0" collapsed="false">
      <c r="A66" s="13" t="s">
        <v>75</v>
      </c>
      <c r="B66" s="13" t="s">
        <v>77</v>
      </c>
      <c r="C66" s="13" t="s">
        <v>81</v>
      </c>
      <c r="D66" s="13" t="s">
        <v>69</v>
      </c>
      <c r="E66" s="13" t="s">
        <v>51</v>
      </c>
      <c r="F66" s="14" t="n">
        <v>826</v>
      </c>
      <c r="G66" s="14" t="n">
        <v>991</v>
      </c>
      <c r="H66" s="13" t="s">
        <v>52</v>
      </c>
      <c r="I66" s="14" t="n">
        <v>3980</v>
      </c>
      <c r="J66" s="14" t="n">
        <v>30</v>
      </c>
      <c r="K66" s="14"/>
      <c r="L66" s="14"/>
      <c r="M66" s="14"/>
      <c r="N66" s="14"/>
      <c r="O66" s="15"/>
      <c r="P66" s="13" t="s">
        <v>81</v>
      </c>
      <c r="Q66" s="13" t="s">
        <v>81</v>
      </c>
      <c r="R66" s="13" t="str">
        <f aca="false">TRIM(LEFT(A66,FIND("/",A66)-1))</f>
        <v>Traffic</v>
      </c>
      <c r="S66" s="13" t="str">
        <f aca="false">LEFT(C66,7)</f>
        <v>2026-07</v>
      </c>
    </row>
    <row r="67" customFormat="false" ht="15" hidden="false" customHeight="false" outlineLevel="0" collapsed="false">
      <c r="A67" s="13" t="s">
        <v>75</v>
      </c>
      <c r="B67" s="13" t="s">
        <v>79</v>
      </c>
      <c r="C67" s="13" t="s">
        <v>81</v>
      </c>
      <c r="D67" s="13" t="s">
        <v>69</v>
      </c>
      <c r="E67" s="13" t="s">
        <v>51</v>
      </c>
      <c r="F67" s="14" t="n">
        <v>1898</v>
      </c>
      <c r="G67" s="14" t="n">
        <v>2033</v>
      </c>
      <c r="H67" s="13" t="s">
        <v>52</v>
      </c>
      <c r="I67" s="14" t="n">
        <v>6733</v>
      </c>
      <c r="J67" s="14" t="n">
        <v>55</v>
      </c>
      <c r="K67" s="14"/>
      <c r="L67" s="14"/>
      <c r="M67" s="14"/>
      <c r="N67" s="14"/>
      <c r="O67" s="15"/>
      <c r="P67" s="13" t="s">
        <v>81</v>
      </c>
      <c r="Q67" s="13" t="s">
        <v>81</v>
      </c>
      <c r="R67" s="13" t="str">
        <f aca="false">TRIM(LEFT(A67,FIND("/",A67)-1))</f>
        <v>Traffic</v>
      </c>
      <c r="S67" s="13" t="str">
        <f aca="false">LEFT(C67,7)</f>
        <v>2026-07</v>
      </c>
    </row>
    <row r="68" customFormat="false" ht="15" hidden="false" customHeight="false" outlineLevel="0" collapsed="false">
      <c r="A68" s="13" t="s">
        <v>66</v>
      </c>
      <c r="B68" s="13" t="s">
        <v>67</v>
      </c>
      <c r="C68" s="13" t="s">
        <v>82</v>
      </c>
      <c r="D68" s="13" t="s">
        <v>69</v>
      </c>
      <c r="E68" s="13" t="s">
        <v>51</v>
      </c>
      <c r="F68" s="14" t="n">
        <v>120979</v>
      </c>
      <c r="G68" s="14" t="n">
        <v>120979</v>
      </c>
      <c r="H68" s="13" t="s">
        <v>52</v>
      </c>
      <c r="I68" s="14" t="n">
        <v>154565</v>
      </c>
      <c r="J68" s="14" t="n">
        <v>27</v>
      </c>
      <c r="K68" s="14"/>
      <c r="L68" s="14"/>
      <c r="M68" s="14"/>
      <c r="N68" s="14"/>
      <c r="O68" s="15"/>
      <c r="P68" s="13" t="s">
        <v>82</v>
      </c>
      <c r="Q68" s="13" t="s">
        <v>82</v>
      </c>
      <c r="R68" s="13" t="str">
        <f aca="false">TRIM(LEFT(A68,FIND("/",A68)-1))</f>
        <v>Awareness</v>
      </c>
      <c r="S68" s="13" t="str">
        <f aca="false">LEFT(C68,7)</f>
        <v>2026-07</v>
      </c>
    </row>
    <row r="69" customFormat="false" ht="15" hidden="false" customHeight="false" outlineLevel="0" collapsed="false">
      <c r="A69" s="13" t="s">
        <v>66</v>
      </c>
      <c r="B69" s="13" t="s">
        <v>70</v>
      </c>
      <c r="C69" s="13" t="s">
        <v>82</v>
      </c>
      <c r="D69" s="13" t="s">
        <v>69</v>
      </c>
      <c r="E69" s="13" t="s">
        <v>51</v>
      </c>
      <c r="F69" s="14" t="n">
        <v>8502</v>
      </c>
      <c r="G69" s="14" t="n">
        <v>8593</v>
      </c>
      <c r="H69" s="13" t="s">
        <v>52</v>
      </c>
      <c r="I69" s="14" t="n">
        <v>10865</v>
      </c>
      <c r="J69" s="14"/>
      <c r="K69" s="14"/>
      <c r="L69" s="14"/>
      <c r="M69" s="14"/>
      <c r="N69" s="14"/>
      <c r="O69" s="15"/>
      <c r="P69" s="13" t="s">
        <v>82</v>
      </c>
      <c r="Q69" s="13" t="s">
        <v>82</v>
      </c>
      <c r="R69" s="13" t="str">
        <f aca="false">TRIM(LEFT(A69,FIND("/",A69)-1))</f>
        <v>Awareness</v>
      </c>
      <c r="S69" s="13" t="str">
        <f aca="false">LEFT(C69,7)</f>
        <v>2026-07</v>
      </c>
    </row>
    <row r="70" customFormat="false" ht="15" hidden="false" customHeight="false" outlineLevel="0" collapsed="false">
      <c r="A70" s="13" t="s">
        <v>66</v>
      </c>
      <c r="B70" s="13" t="s">
        <v>71</v>
      </c>
      <c r="C70" s="13" t="s">
        <v>82</v>
      </c>
      <c r="D70" s="13" t="s">
        <v>69</v>
      </c>
      <c r="E70" s="13" t="s">
        <v>51</v>
      </c>
      <c r="F70" s="14" t="n">
        <v>73280</v>
      </c>
      <c r="G70" s="14" t="n">
        <v>75097</v>
      </c>
      <c r="H70" s="13" t="s">
        <v>52</v>
      </c>
      <c r="I70" s="14" t="n">
        <v>95808</v>
      </c>
      <c r="J70" s="14" t="n">
        <v>9</v>
      </c>
      <c r="K70" s="14"/>
      <c r="L70" s="14"/>
      <c r="M70" s="14"/>
      <c r="N70" s="14"/>
      <c r="O70" s="15"/>
      <c r="P70" s="13" t="s">
        <v>82</v>
      </c>
      <c r="Q70" s="13" t="s">
        <v>82</v>
      </c>
      <c r="R70" s="13" t="str">
        <f aca="false">TRIM(LEFT(A70,FIND("/",A70)-1))</f>
        <v>Awareness</v>
      </c>
      <c r="S70" s="13" t="str">
        <f aca="false">LEFT(C70,7)</f>
        <v>2026-07</v>
      </c>
    </row>
    <row r="71" customFormat="false" ht="15" hidden="false" customHeight="false" outlineLevel="0" collapsed="false">
      <c r="A71" s="13" t="s">
        <v>73</v>
      </c>
      <c r="B71" s="13" t="s">
        <v>74</v>
      </c>
      <c r="C71" s="13" t="s">
        <v>82</v>
      </c>
      <c r="D71" s="13" t="s">
        <v>69</v>
      </c>
      <c r="E71" s="13" t="s">
        <v>51</v>
      </c>
      <c r="F71" s="14" t="n">
        <v>7339</v>
      </c>
      <c r="G71" s="14" t="n">
        <v>9633</v>
      </c>
      <c r="H71" s="13" t="s">
        <v>52</v>
      </c>
      <c r="I71" s="14" t="n">
        <v>183485</v>
      </c>
      <c r="J71" s="14" t="n">
        <v>224</v>
      </c>
      <c r="K71" s="14" t="n">
        <v>2</v>
      </c>
      <c r="L71" s="14" t="n">
        <v>320157</v>
      </c>
      <c r="M71" s="14" t="n">
        <v>26</v>
      </c>
      <c r="N71" s="14" t="n">
        <v>4162073</v>
      </c>
      <c r="O71" s="15" t="n">
        <v>1.74486743</v>
      </c>
      <c r="P71" s="13" t="s">
        <v>82</v>
      </c>
      <c r="Q71" s="13" t="s">
        <v>82</v>
      </c>
      <c r="R71" s="13" t="str">
        <f aca="false">TRIM(LEFT(A71,FIND("/",A71)-1))</f>
        <v>Sales</v>
      </c>
      <c r="S71" s="13" t="str">
        <f aca="false">LEFT(C71,7)</f>
        <v>2026-07</v>
      </c>
    </row>
    <row r="72" customFormat="false" ht="15" hidden="false" customHeight="false" outlineLevel="0" collapsed="false">
      <c r="A72" s="13" t="s">
        <v>75</v>
      </c>
      <c r="B72" s="13" t="s">
        <v>76</v>
      </c>
      <c r="C72" s="13" t="s">
        <v>82</v>
      </c>
      <c r="D72" s="13" t="s">
        <v>69</v>
      </c>
      <c r="E72" s="13" t="s">
        <v>51</v>
      </c>
      <c r="F72" s="14" t="n">
        <v>87161</v>
      </c>
      <c r="G72" s="14" t="n">
        <v>109608</v>
      </c>
      <c r="H72" s="13" t="s">
        <v>52</v>
      </c>
      <c r="I72" s="14" t="n">
        <v>283160</v>
      </c>
      <c r="J72" s="14" t="n">
        <v>2160</v>
      </c>
      <c r="K72" s="14"/>
      <c r="L72" s="14"/>
      <c r="M72" s="14" t="n">
        <v>2</v>
      </c>
      <c r="N72" s="14" t="n">
        <v>361769</v>
      </c>
      <c r="O72" s="15"/>
      <c r="P72" s="13" t="s">
        <v>82</v>
      </c>
      <c r="Q72" s="13" t="s">
        <v>82</v>
      </c>
      <c r="R72" s="13" t="str">
        <f aca="false">TRIM(LEFT(A72,FIND("/",A72)-1))</f>
        <v>Traffic</v>
      </c>
      <c r="S72" s="13" t="str">
        <f aca="false">LEFT(C72,7)</f>
        <v>2026-07</v>
      </c>
    </row>
    <row r="73" customFormat="false" ht="15" hidden="false" customHeight="false" outlineLevel="0" collapsed="false">
      <c r="A73" s="13" t="s">
        <v>75</v>
      </c>
      <c r="B73" s="13" t="s">
        <v>77</v>
      </c>
      <c r="C73" s="13" t="s">
        <v>82</v>
      </c>
      <c r="D73" s="13" t="s">
        <v>69</v>
      </c>
      <c r="E73" s="13" t="s">
        <v>51</v>
      </c>
      <c r="F73" s="14" t="n">
        <v>540</v>
      </c>
      <c r="G73" s="14" t="n">
        <v>602</v>
      </c>
      <c r="H73" s="13" t="s">
        <v>52</v>
      </c>
      <c r="I73" s="14" t="n">
        <v>2172</v>
      </c>
      <c r="J73" s="14" t="n">
        <v>15</v>
      </c>
      <c r="K73" s="14"/>
      <c r="L73" s="14"/>
      <c r="M73" s="14"/>
      <c r="N73" s="14"/>
      <c r="O73" s="15"/>
      <c r="P73" s="13" t="s">
        <v>82</v>
      </c>
      <c r="Q73" s="13" t="s">
        <v>82</v>
      </c>
      <c r="R73" s="13" t="str">
        <f aca="false">TRIM(LEFT(A73,FIND("/",A73)-1))</f>
        <v>Traffic</v>
      </c>
      <c r="S73" s="13" t="str">
        <f aca="false">LEFT(C73,7)</f>
        <v>2026-07</v>
      </c>
    </row>
    <row r="74" customFormat="false" ht="15" hidden="false" customHeight="false" outlineLevel="0" collapsed="false">
      <c r="A74" s="13" t="s">
        <v>75</v>
      </c>
      <c r="B74" s="13" t="s">
        <v>79</v>
      </c>
      <c r="C74" s="13" t="s">
        <v>82</v>
      </c>
      <c r="D74" s="13" t="s">
        <v>69</v>
      </c>
      <c r="E74" s="13" t="s">
        <v>51</v>
      </c>
      <c r="F74" s="14" t="n">
        <v>3957</v>
      </c>
      <c r="G74" s="14" t="n">
        <v>4122</v>
      </c>
      <c r="H74" s="13" t="s">
        <v>52</v>
      </c>
      <c r="I74" s="14" t="n">
        <v>11940</v>
      </c>
      <c r="J74" s="14" t="n">
        <v>109</v>
      </c>
      <c r="K74" s="14"/>
      <c r="L74" s="14"/>
      <c r="M74" s="14"/>
      <c r="N74" s="14"/>
      <c r="O74" s="15"/>
      <c r="P74" s="13" t="s">
        <v>82</v>
      </c>
      <c r="Q74" s="13" t="s">
        <v>82</v>
      </c>
      <c r="R74" s="13" t="str">
        <f aca="false">TRIM(LEFT(A74,FIND("/",A74)-1))</f>
        <v>Traffic</v>
      </c>
      <c r="S74" s="13" t="str">
        <f aca="false">LEFT(C74,7)</f>
        <v>2026-07</v>
      </c>
    </row>
    <row r="75" customFormat="false" ht="15" hidden="false" customHeight="false" outlineLevel="0" collapsed="false">
      <c r="A75" s="13" t="s">
        <v>66</v>
      </c>
      <c r="B75" s="13" t="s">
        <v>67</v>
      </c>
      <c r="C75" s="13" t="s">
        <v>83</v>
      </c>
      <c r="D75" s="13" t="s">
        <v>69</v>
      </c>
      <c r="E75" s="13" t="s">
        <v>51</v>
      </c>
      <c r="F75" s="14" t="n">
        <v>53206</v>
      </c>
      <c r="G75" s="14" t="n">
        <v>53206</v>
      </c>
      <c r="H75" s="13" t="s">
        <v>52</v>
      </c>
      <c r="I75" s="14" t="n">
        <v>68568</v>
      </c>
      <c r="J75" s="14" t="n">
        <v>10</v>
      </c>
      <c r="K75" s="14"/>
      <c r="L75" s="14"/>
      <c r="M75" s="14"/>
      <c r="N75" s="14"/>
      <c r="O75" s="15"/>
      <c r="P75" s="13" t="s">
        <v>83</v>
      </c>
      <c r="Q75" s="13" t="s">
        <v>83</v>
      </c>
      <c r="R75" s="13" t="str">
        <f aca="false">TRIM(LEFT(A75,FIND("/",A75)-1))</f>
        <v>Awareness</v>
      </c>
      <c r="S75" s="13" t="str">
        <f aca="false">LEFT(C75,7)</f>
        <v>2026-07</v>
      </c>
    </row>
    <row r="76" customFormat="false" ht="15" hidden="false" customHeight="false" outlineLevel="0" collapsed="false">
      <c r="A76" s="13" t="s">
        <v>66</v>
      </c>
      <c r="B76" s="13" t="s">
        <v>70</v>
      </c>
      <c r="C76" s="13" t="s">
        <v>83</v>
      </c>
      <c r="D76" s="13" t="s">
        <v>69</v>
      </c>
      <c r="E76" s="13" t="s">
        <v>51</v>
      </c>
      <c r="F76" s="14" t="n">
        <v>5309</v>
      </c>
      <c r="G76" s="14" t="n">
        <v>5309</v>
      </c>
      <c r="H76" s="13" t="s">
        <v>52</v>
      </c>
      <c r="I76" s="14" t="n">
        <v>6777</v>
      </c>
      <c r="J76" s="14"/>
      <c r="K76" s="14"/>
      <c r="L76" s="14"/>
      <c r="M76" s="14"/>
      <c r="N76" s="14"/>
      <c r="O76" s="15"/>
      <c r="P76" s="13" t="s">
        <v>83</v>
      </c>
      <c r="Q76" s="13" t="s">
        <v>83</v>
      </c>
      <c r="R76" s="13" t="str">
        <f aca="false">TRIM(LEFT(A76,FIND("/",A76)-1))</f>
        <v>Awareness</v>
      </c>
      <c r="S76" s="13" t="str">
        <f aca="false">LEFT(C76,7)</f>
        <v>2026-07</v>
      </c>
    </row>
    <row r="77" customFormat="false" ht="15" hidden="false" customHeight="false" outlineLevel="0" collapsed="false">
      <c r="A77" s="13" t="s">
        <v>66</v>
      </c>
      <c r="B77" s="13" t="s">
        <v>71</v>
      </c>
      <c r="C77" s="13" t="s">
        <v>83</v>
      </c>
      <c r="D77" s="13" t="s">
        <v>69</v>
      </c>
      <c r="E77" s="13" t="s">
        <v>51</v>
      </c>
      <c r="F77" s="14" t="n">
        <v>146755</v>
      </c>
      <c r="G77" s="14" t="n">
        <v>146755</v>
      </c>
      <c r="H77" s="13" t="s">
        <v>52</v>
      </c>
      <c r="I77" s="14" t="n">
        <v>190386</v>
      </c>
      <c r="J77" s="14" t="n">
        <v>24</v>
      </c>
      <c r="K77" s="14"/>
      <c r="L77" s="14"/>
      <c r="M77" s="14"/>
      <c r="N77" s="14"/>
      <c r="O77" s="15"/>
      <c r="P77" s="13" t="s">
        <v>83</v>
      </c>
      <c r="Q77" s="13" t="s">
        <v>83</v>
      </c>
      <c r="R77" s="13" t="str">
        <f aca="false">TRIM(LEFT(A77,FIND("/",A77)-1))</f>
        <v>Awareness</v>
      </c>
      <c r="S77" s="13" t="str">
        <f aca="false">LEFT(C77,7)</f>
        <v>2026-07</v>
      </c>
    </row>
    <row r="78" customFormat="false" ht="15" hidden="false" customHeight="false" outlineLevel="0" collapsed="false">
      <c r="A78" s="13" t="s">
        <v>73</v>
      </c>
      <c r="B78" s="13" t="s">
        <v>74</v>
      </c>
      <c r="C78" s="13" t="s">
        <v>83</v>
      </c>
      <c r="D78" s="13" t="s">
        <v>69</v>
      </c>
      <c r="E78" s="13" t="s">
        <v>51</v>
      </c>
      <c r="F78" s="14" t="n">
        <v>8793</v>
      </c>
      <c r="G78" s="14" t="n">
        <v>10942</v>
      </c>
      <c r="H78" s="13" t="s">
        <v>52</v>
      </c>
      <c r="I78" s="14" t="n">
        <v>210242</v>
      </c>
      <c r="J78" s="14" t="n">
        <v>286</v>
      </c>
      <c r="K78" s="14"/>
      <c r="L78" s="14"/>
      <c r="M78" s="14" t="n">
        <v>23</v>
      </c>
      <c r="N78" s="14" t="n">
        <v>3884844</v>
      </c>
      <c r="O78" s="15"/>
      <c r="P78" s="13" t="s">
        <v>83</v>
      </c>
      <c r="Q78" s="13" t="s">
        <v>83</v>
      </c>
      <c r="R78" s="13" t="str">
        <f aca="false">TRIM(LEFT(A78,FIND("/",A78)-1))</f>
        <v>Sales</v>
      </c>
      <c r="S78" s="13" t="str">
        <f aca="false">LEFT(C78,7)</f>
        <v>2026-07</v>
      </c>
    </row>
    <row r="79" customFormat="false" ht="15" hidden="false" customHeight="false" outlineLevel="0" collapsed="false">
      <c r="A79" s="13" t="s">
        <v>75</v>
      </c>
      <c r="B79" s="13" t="s">
        <v>76</v>
      </c>
      <c r="C79" s="13" t="s">
        <v>83</v>
      </c>
      <c r="D79" s="13" t="s">
        <v>69</v>
      </c>
      <c r="E79" s="13" t="s">
        <v>51</v>
      </c>
      <c r="F79" s="14" t="n">
        <v>106157</v>
      </c>
      <c r="G79" s="14" t="n">
        <v>122810</v>
      </c>
      <c r="H79" s="13" t="s">
        <v>52</v>
      </c>
      <c r="I79" s="14" t="n">
        <v>280948</v>
      </c>
      <c r="J79" s="14" t="n">
        <v>2087</v>
      </c>
      <c r="K79" s="14"/>
      <c r="L79" s="14"/>
      <c r="M79" s="14" t="n">
        <v>6</v>
      </c>
      <c r="N79" s="14" t="n">
        <v>1039888</v>
      </c>
      <c r="O79" s="15"/>
      <c r="P79" s="13" t="s">
        <v>83</v>
      </c>
      <c r="Q79" s="13" t="s">
        <v>83</v>
      </c>
      <c r="R79" s="13" t="str">
        <f aca="false">TRIM(LEFT(A79,FIND("/",A79)-1))</f>
        <v>Traffic</v>
      </c>
      <c r="S79" s="13" t="str">
        <f aca="false">LEFT(C79,7)</f>
        <v>2026-07</v>
      </c>
    </row>
    <row r="80" customFormat="false" ht="15" hidden="false" customHeight="false" outlineLevel="0" collapsed="false">
      <c r="A80" s="13" t="s">
        <v>75</v>
      </c>
      <c r="B80" s="13" t="s">
        <v>77</v>
      </c>
      <c r="C80" s="13" t="s">
        <v>83</v>
      </c>
      <c r="D80" s="13" t="s">
        <v>69</v>
      </c>
      <c r="E80" s="13" t="s">
        <v>51</v>
      </c>
      <c r="F80" s="14" t="n">
        <v>464</v>
      </c>
      <c r="G80" s="14" t="n">
        <v>495</v>
      </c>
      <c r="H80" s="13" t="s">
        <v>52</v>
      </c>
      <c r="I80" s="14" t="n">
        <v>1884</v>
      </c>
      <c r="J80" s="14" t="n">
        <v>8</v>
      </c>
      <c r="K80" s="14"/>
      <c r="L80" s="14"/>
      <c r="M80" s="14"/>
      <c r="N80" s="14"/>
      <c r="O80" s="15"/>
      <c r="P80" s="13" t="s">
        <v>83</v>
      </c>
      <c r="Q80" s="13" t="s">
        <v>83</v>
      </c>
      <c r="R80" s="13" t="str">
        <f aca="false">TRIM(LEFT(A80,FIND("/",A80)-1))</f>
        <v>Traffic</v>
      </c>
      <c r="S80" s="13" t="str">
        <f aca="false">LEFT(C80,7)</f>
        <v>2026-07</v>
      </c>
    </row>
    <row r="81" customFormat="false" ht="15" hidden="false" customHeight="false" outlineLevel="0" collapsed="false">
      <c r="A81" s="13" t="s">
        <v>75</v>
      </c>
      <c r="B81" s="13" t="s">
        <v>79</v>
      </c>
      <c r="C81" s="13" t="s">
        <v>83</v>
      </c>
      <c r="D81" s="13" t="s">
        <v>69</v>
      </c>
      <c r="E81" s="13" t="s">
        <v>51</v>
      </c>
      <c r="F81" s="14" t="n">
        <v>4188</v>
      </c>
      <c r="G81" s="14" t="n">
        <v>4298</v>
      </c>
      <c r="H81" s="13" t="s">
        <v>52</v>
      </c>
      <c r="I81" s="14" t="n">
        <v>13149</v>
      </c>
      <c r="J81" s="14" t="n">
        <v>116</v>
      </c>
      <c r="K81" s="14"/>
      <c r="L81" s="14"/>
      <c r="M81" s="14"/>
      <c r="N81" s="14"/>
      <c r="O81" s="15"/>
      <c r="P81" s="13" t="s">
        <v>83</v>
      </c>
      <c r="Q81" s="13" t="s">
        <v>83</v>
      </c>
      <c r="R81" s="13" t="str">
        <f aca="false">TRIM(LEFT(A81,FIND("/",A81)-1))</f>
        <v>Traffic</v>
      </c>
      <c r="S81" s="13" t="str">
        <f aca="false">LEFT(C81,7)</f>
        <v>2026-07</v>
      </c>
    </row>
    <row r="82" customFormat="false" ht="15" hidden="false" customHeight="false" outlineLevel="0" collapsed="false">
      <c r="A82" s="13" t="s">
        <v>66</v>
      </c>
      <c r="B82" s="13" t="s">
        <v>67</v>
      </c>
      <c r="C82" s="13" t="s">
        <v>84</v>
      </c>
      <c r="D82" s="13" t="s">
        <v>69</v>
      </c>
      <c r="E82" s="13" t="s">
        <v>51</v>
      </c>
      <c r="F82" s="14" t="n">
        <v>32448</v>
      </c>
      <c r="G82" s="14" t="n">
        <v>32448</v>
      </c>
      <c r="H82" s="13" t="s">
        <v>52</v>
      </c>
      <c r="I82" s="14" t="n">
        <v>43149</v>
      </c>
      <c r="J82" s="14" t="n">
        <v>6</v>
      </c>
      <c r="K82" s="14"/>
      <c r="L82" s="14"/>
      <c r="M82" s="14"/>
      <c r="N82" s="14"/>
      <c r="O82" s="15"/>
      <c r="P82" s="13" t="s">
        <v>84</v>
      </c>
      <c r="Q82" s="13" t="s">
        <v>84</v>
      </c>
      <c r="R82" s="13" t="str">
        <f aca="false">TRIM(LEFT(A82,FIND("/",A82)-1))</f>
        <v>Awareness</v>
      </c>
      <c r="S82" s="13" t="str">
        <f aca="false">LEFT(C82,7)</f>
        <v>2026-07</v>
      </c>
    </row>
    <row r="83" customFormat="false" ht="15" hidden="false" customHeight="false" outlineLevel="0" collapsed="false">
      <c r="A83" s="13" t="s">
        <v>66</v>
      </c>
      <c r="B83" s="13" t="s">
        <v>70</v>
      </c>
      <c r="C83" s="13" t="s">
        <v>84</v>
      </c>
      <c r="D83" s="13" t="s">
        <v>69</v>
      </c>
      <c r="E83" s="13" t="s">
        <v>51</v>
      </c>
      <c r="F83" s="14" t="n">
        <v>6702</v>
      </c>
      <c r="G83" s="14" t="n">
        <v>6852</v>
      </c>
      <c r="H83" s="13" t="s">
        <v>52</v>
      </c>
      <c r="I83" s="14" t="n">
        <v>9051</v>
      </c>
      <c r="J83" s="14" t="n">
        <v>1</v>
      </c>
      <c r="K83" s="14"/>
      <c r="L83" s="14"/>
      <c r="M83" s="14"/>
      <c r="N83" s="14"/>
      <c r="O83" s="15"/>
      <c r="P83" s="13" t="s">
        <v>84</v>
      </c>
      <c r="Q83" s="13" t="s">
        <v>84</v>
      </c>
      <c r="R83" s="13" t="str">
        <f aca="false">TRIM(LEFT(A83,FIND("/",A83)-1))</f>
        <v>Awareness</v>
      </c>
      <c r="S83" s="13" t="str">
        <f aca="false">LEFT(C83,7)</f>
        <v>2026-07</v>
      </c>
    </row>
    <row r="84" customFormat="false" ht="15" hidden="false" customHeight="false" outlineLevel="0" collapsed="false">
      <c r="A84" s="13" t="s">
        <v>66</v>
      </c>
      <c r="B84" s="13" t="s">
        <v>71</v>
      </c>
      <c r="C84" s="13" t="s">
        <v>84</v>
      </c>
      <c r="D84" s="13" t="s">
        <v>69</v>
      </c>
      <c r="E84" s="13" t="s">
        <v>51</v>
      </c>
      <c r="F84" s="14" t="n">
        <v>142615</v>
      </c>
      <c r="G84" s="14" t="n">
        <v>144015</v>
      </c>
      <c r="H84" s="13" t="s">
        <v>52</v>
      </c>
      <c r="I84" s="14" t="n">
        <v>193550</v>
      </c>
      <c r="J84" s="14" t="n">
        <v>21</v>
      </c>
      <c r="K84" s="14"/>
      <c r="L84" s="14"/>
      <c r="M84" s="14"/>
      <c r="N84" s="14"/>
      <c r="O84" s="15"/>
      <c r="P84" s="13" t="s">
        <v>84</v>
      </c>
      <c r="Q84" s="13" t="s">
        <v>84</v>
      </c>
      <c r="R84" s="13" t="str">
        <f aca="false">TRIM(LEFT(A84,FIND("/",A84)-1))</f>
        <v>Awareness</v>
      </c>
      <c r="S84" s="13" t="str">
        <f aca="false">LEFT(C84,7)</f>
        <v>2026-07</v>
      </c>
    </row>
    <row r="85" customFormat="false" ht="15" hidden="false" customHeight="false" outlineLevel="0" collapsed="false">
      <c r="A85" s="13" t="s">
        <v>73</v>
      </c>
      <c r="B85" s="13" t="s">
        <v>74</v>
      </c>
      <c r="C85" s="13" t="s">
        <v>84</v>
      </c>
      <c r="D85" s="13" t="s">
        <v>69</v>
      </c>
      <c r="E85" s="13" t="s">
        <v>51</v>
      </c>
      <c r="F85" s="14" t="n">
        <v>8633</v>
      </c>
      <c r="G85" s="14" t="n">
        <v>10295</v>
      </c>
      <c r="H85" s="13" t="s">
        <v>52</v>
      </c>
      <c r="I85" s="14" t="n">
        <v>155284</v>
      </c>
      <c r="J85" s="14" t="n">
        <v>226</v>
      </c>
      <c r="K85" s="14" t="n">
        <v>1</v>
      </c>
      <c r="L85" s="14" t="n">
        <v>196868</v>
      </c>
      <c r="M85" s="14" t="n">
        <v>18</v>
      </c>
      <c r="N85" s="14" t="n">
        <v>3060509</v>
      </c>
      <c r="O85" s="15" t="n">
        <v>1.2677932</v>
      </c>
      <c r="P85" s="13" t="s">
        <v>84</v>
      </c>
      <c r="Q85" s="13" t="s">
        <v>84</v>
      </c>
      <c r="R85" s="13" t="str">
        <f aca="false">TRIM(LEFT(A85,FIND("/",A85)-1))</f>
        <v>Sales</v>
      </c>
      <c r="S85" s="13" t="str">
        <f aca="false">LEFT(C85,7)</f>
        <v>2026-07</v>
      </c>
    </row>
    <row r="86" customFormat="false" ht="15" hidden="false" customHeight="false" outlineLevel="0" collapsed="false">
      <c r="A86" s="13" t="s">
        <v>75</v>
      </c>
      <c r="B86" s="13" t="s">
        <v>76</v>
      </c>
      <c r="C86" s="13" t="s">
        <v>84</v>
      </c>
      <c r="D86" s="13" t="s">
        <v>69</v>
      </c>
      <c r="E86" s="13" t="s">
        <v>51</v>
      </c>
      <c r="F86" s="14" t="n">
        <v>158576</v>
      </c>
      <c r="G86" s="14" t="n">
        <v>175994</v>
      </c>
      <c r="H86" s="13" t="s">
        <v>52</v>
      </c>
      <c r="I86" s="14" t="n">
        <v>283776</v>
      </c>
      <c r="J86" s="14" t="n">
        <v>2167</v>
      </c>
      <c r="K86" s="14"/>
      <c r="L86" s="14"/>
      <c r="M86" s="14" t="n">
        <v>6</v>
      </c>
      <c r="N86" s="14" t="n">
        <v>1118605</v>
      </c>
      <c r="O86" s="15"/>
      <c r="P86" s="13" t="s">
        <v>84</v>
      </c>
      <c r="Q86" s="13" t="s">
        <v>84</v>
      </c>
      <c r="R86" s="13" t="str">
        <f aca="false">TRIM(LEFT(A86,FIND("/",A86)-1))</f>
        <v>Traffic</v>
      </c>
      <c r="S86" s="13" t="str">
        <f aca="false">LEFT(C86,7)</f>
        <v>2026-07</v>
      </c>
    </row>
    <row r="87" customFormat="false" ht="15" hidden="false" customHeight="false" outlineLevel="0" collapsed="false">
      <c r="A87" s="13" t="s">
        <v>75</v>
      </c>
      <c r="B87" s="13" t="s">
        <v>77</v>
      </c>
      <c r="C87" s="13" t="s">
        <v>84</v>
      </c>
      <c r="D87" s="13" t="s">
        <v>69</v>
      </c>
      <c r="E87" s="13" t="s">
        <v>51</v>
      </c>
      <c r="F87" s="14" t="n">
        <v>548</v>
      </c>
      <c r="G87" s="14" t="n">
        <v>609</v>
      </c>
      <c r="H87" s="13" t="s">
        <v>52</v>
      </c>
      <c r="I87" s="14" t="n">
        <v>2200</v>
      </c>
      <c r="J87" s="14" t="n">
        <v>28</v>
      </c>
      <c r="K87" s="14"/>
      <c r="L87" s="14"/>
      <c r="M87" s="14"/>
      <c r="N87" s="14"/>
      <c r="O87" s="15"/>
      <c r="P87" s="13" t="s">
        <v>84</v>
      </c>
      <c r="Q87" s="13" t="s">
        <v>84</v>
      </c>
      <c r="R87" s="13" t="str">
        <f aca="false">TRIM(LEFT(A87,FIND("/",A87)-1))</f>
        <v>Traffic</v>
      </c>
      <c r="S87" s="13" t="str">
        <f aca="false">LEFT(C87,7)</f>
        <v>2026-07</v>
      </c>
    </row>
    <row r="88" customFormat="false" ht="15" hidden="false" customHeight="false" outlineLevel="0" collapsed="false">
      <c r="A88" s="13" t="s">
        <v>75</v>
      </c>
      <c r="B88" s="13" t="s">
        <v>79</v>
      </c>
      <c r="C88" s="13" t="s">
        <v>84</v>
      </c>
      <c r="D88" s="13" t="s">
        <v>69</v>
      </c>
      <c r="E88" s="13" t="s">
        <v>51</v>
      </c>
      <c r="F88" s="14" t="n">
        <v>7487</v>
      </c>
      <c r="G88" s="14" t="n">
        <v>7720</v>
      </c>
      <c r="H88" s="13" t="s">
        <v>52</v>
      </c>
      <c r="I88" s="14" t="n">
        <v>21117</v>
      </c>
      <c r="J88" s="14" t="n">
        <v>179</v>
      </c>
      <c r="K88" s="14"/>
      <c r="L88" s="14"/>
      <c r="M88" s="14"/>
      <c r="N88" s="14"/>
      <c r="O88" s="15"/>
      <c r="P88" s="13" t="s">
        <v>84</v>
      </c>
      <c r="Q88" s="13" t="s">
        <v>84</v>
      </c>
      <c r="R88" s="13" t="str">
        <f aca="false">TRIM(LEFT(A88,FIND("/",A88)-1))</f>
        <v>Traffic</v>
      </c>
      <c r="S88" s="13" t="str">
        <f aca="false">LEFT(C88,7)</f>
        <v>2026-07</v>
      </c>
    </row>
    <row r="89" customFormat="false" ht="15" hidden="false" customHeight="false" outlineLevel="0" collapsed="false">
      <c r="A89" s="13" t="s">
        <v>66</v>
      </c>
      <c r="B89" s="13" t="s">
        <v>67</v>
      </c>
      <c r="C89" s="13" t="s">
        <v>85</v>
      </c>
      <c r="D89" s="13" t="s">
        <v>69</v>
      </c>
      <c r="E89" s="13" t="s">
        <v>51</v>
      </c>
      <c r="F89" s="14" t="n">
        <v>19333</v>
      </c>
      <c r="G89" s="14" t="n">
        <v>19333</v>
      </c>
      <c r="H89" s="13" t="s">
        <v>52</v>
      </c>
      <c r="I89" s="14" t="n">
        <v>27024</v>
      </c>
      <c r="J89" s="14" t="n">
        <v>4</v>
      </c>
      <c r="K89" s="14"/>
      <c r="L89" s="14"/>
      <c r="M89" s="14"/>
      <c r="N89" s="14"/>
      <c r="O89" s="15"/>
      <c r="P89" s="13" t="s">
        <v>85</v>
      </c>
      <c r="Q89" s="13" t="s">
        <v>85</v>
      </c>
      <c r="R89" s="13" t="str">
        <f aca="false">TRIM(LEFT(A89,FIND("/",A89)-1))</f>
        <v>Awareness</v>
      </c>
      <c r="S89" s="13" t="str">
        <f aca="false">LEFT(C89,7)</f>
        <v>2026-07</v>
      </c>
    </row>
    <row r="90" customFormat="false" ht="15" hidden="false" customHeight="false" outlineLevel="0" collapsed="false">
      <c r="A90" s="13" t="s">
        <v>66</v>
      </c>
      <c r="B90" s="13" t="s">
        <v>70</v>
      </c>
      <c r="C90" s="13" t="s">
        <v>85</v>
      </c>
      <c r="D90" s="13" t="s">
        <v>69</v>
      </c>
      <c r="E90" s="13" t="s">
        <v>51</v>
      </c>
      <c r="F90" s="14" t="n">
        <v>4382</v>
      </c>
      <c r="G90" s="14" t="n">
        <v>4382</v>
      </c>
      <c r="H90" s="13" t="s">
        <v>52</v>
      </c>
      <c r="I90" s="14" t="n">
        <v>6147</v>
      </c>
      <c r="J90" s="14" t="n">
        <v>1</v>
      </c>
      <c r="K90" s="14"/>
      <c r="L90" s="14"/>
      <c r="M90" s="14"/>
      <c r="N90" s="14"/>
      <c r="O90" s="15"/>
      <c r="P90" s="13" t="s">
        <v>85</v>
      </c>
      <c r="Q90" s="13" t="s">
        <v>85</v>
      </c>
      <c r="R90" s="13" t="str">
        <f aca="false">TRIM(LEFT(A90,FIND("/",A90)-1))</f>
        <v>Awareness</v>
      </c>
      <c r="S90" s="13" t="str">
        <f aca="false">LEFT(C90,7)</f>
        <v>2026-07</v>
      </c>
    </row>
    <row r="91" customFormat="false" ht="15" hidden="false" customHeight="false" outlineLevel="0" collapsed="false">
      <c r="A91" s="13" t="s">
        <v>66</v>
      </c>
      <c r="B91" s="13" t="s">
        <v>71</v>
      </c>
      <c r="C91" s="13" t="s">
        <v>85</v>
      </c>
      <c r="D91" s="13" t="s">
        <v>69</v>
      </c>
      <c r="E91" s="13" t="s">
        <v>51</v>
      </c>
      <c r="F91" s="14" t="n">
        <v>164493</v>
      </c>
      <c r="G91" s="14" t="n">
        <v>164493</v>
      </c>
      <c r="H91" s="13" t="s">
        <v>52</v>
      </c>
      <c r="I91" s="14" t="n">
        <v>231709</v>
      </c>
      <c r="J91" s="14" t="n">
        <v>29</v>
      </c>
      <c r="K91" s="14"/>
      <c r="L91" s="14"/>
      <c r="M91" s="14"/>
      <c r="N91" s="14"/>
      <c r="O91" s="15"/>
      <c r="P91" s="13" t="s">
        <v>85</v>
      </c>
      <c r="Q91" s="13" t="s">
        <v>85</v>
      </c>
      <c r="R91" s="13" t="str">
        <f aca="false">TRIM(LEFT(A91,FIND("/",A91)-1))</f>
        <v>Awareness</v>
      </c>
      <c r="S91" s="13" t="str">
        <f aca="false">LEFT(C91,7)</f>
        <v>2026-07</v>
      </c>
    </row>
    <row r="92" customFormat="false" ht="15" hidden="false" customHeight="false" outlineLevel="0" collapsed="false">
      <c r="A92" s="13" t="s">
        <v>73</v>
      </c>
      <c r="B92" s="13" t="s">
        <v>74</v>
      </c>
      <c r="C92" s="13" t="s">
        <v>85</v>
      </c>
      <c r="D92" s="13" t="s">
        <v>69</v>
      </c>
      <c r="E92" s="13" t="s">
        <v>51</v>
      </c>
      <c r="F92" s="14" t="n">
        <v>8249</v>
      </c>
      <c r="G92" s="14" t="n">
        <v>9763</v>
      </c>
      <c r="H92" s="13" t="s">
        <v>52</v>
      </c>
      <c r="I92" s="14" t="n">
        <v>166183</v>
      </c>
      <c r="J92" s="14" t="n">
        <v>200</v>
      </c>
      <c r="K92" s="14" t="n">
        <v>1</v>
      </c>
      <c r="L92" s="14" t="n">
        <v>189171</v>
      </c>
      <c r="M92" s="14" t="n">
        <v>15</v>
      </c>
      <c r="N92" s="14" t="n">
        <v>2536731</v>
      </c>
      <c r="O92" s="15" t="n">
        <v>1.13832943</v>
      </c>
      <c r="P92" s="13" t="s">
        <v>85</v>
      </c>
      <c r="Q92" s="13" t="s">
        <v>85</v>
      </c>
      <c r="R92" s="13" t="str">
        <f aca="false">TRIM(LEFT(A92,FIND("/",A92)-1))</f>
        <v>Sales</v>
      </c>
      <c r="S92" s="13" t="str">
        <f aca="false">LEFT(C92,7)</f>
        <v>2026-07</v>
      </c>
    </row>
    <row r="93" customFormat="false" ht="15" hidden="false" customHeight="false" outlineLevel="0" collapsed="false">
      <c r="A93" s="13" t="s">
        <v>75</v>
      </c>
      <c r="B93" s="13" t="s">
        <v>76</v>
      </c>
      <c r="C93" s="13" t="s">
        <v>85</v>
      </c>
      <c r="D93" s="13" t="s">
        <v>69</v>
      </c>
      <c r="E93" s="13" t="s">
        <v>51</v>
      </c>
      <c r="F93" s="14" t="n">
        <v>132254</v>
      </c>
      <c r="G93" s="14" t="n">
        <v>140779</v>
      </c>
      <c r="H93" s="13" t="s">
        <v>52</v>
      </c>
      <c r="I93" s="14" t="n">
        <v>254751</v>
      </c>
      <c r="J93" s="14" t="n">
        <v>1917</v>
      </c>
      <c r="K93" s="14"/>
      <c r="L93" s="14"/>
      <c r="M93" s="14" t="n">
        <v>11</v>
      </c>
      <c r="N93" s="14" t="n">
        <v>1836397</v>
      </c>
      <c r="O93" s="15"/>
      <c r="P93" s="13" t="s">
        <v>85</v>
      </c>
      <c r="Q93" s="13" t="s">
        <v>85</v>
      </c>
      <c r="R93" s="13" t="str">
        <f aca="false">TRIM(LEFT(A93,FIND("/",A93)-1))</f>
        <v>Traffic</v>
      </c>
      <c r="S93" s="13" t="str">
        <f aca="false">LEFT(C93,7)</f>
        <v>2026-07</v>
      </c>
    </row>
    <row r="94" customFormat="false" ht="15" hidden="false" customHeight="false" outlineLevel="0" collapsed="false">
      <c r="A94" s="13" t="s">
        <v>75</v>
      </c>
      <c r="B94" s="13" t="s">
        <v>77</v>
      </c>
      <c r="C94" s="13" t="s">
        <v>85</v>
      </c>
      <c r="D94" s="13" t="s">
        <v>69</v>
      </c>
      <c r="E94" s="13" t="s">
        <v>51</v>
      </c>
      <c r="F94" s="14" t="n">
        <v>170</v>
      </c>
      <c r="G94" s="14" t="n">
        <v>173</v>
      </c>
      <c r="H94" s="13" t="s">
        <v>52</v>
      </c>
      <c r="I94" s="14" t="n">
        <v>633</v>
      </c>
      <c r="J94" s="14" t="n">
        <v>7</v>
      </c>
      <c r="K94" s="14"/>
      <c r="L94" s="14"/>
      <c r="M94" s="14"/>
      <c r="N94" s="14"/>
      <c r="O94" s="15"/>
      <c r="P94" s="13" t="s">
        <v>85</v>
      </c>
      <c r="Q94" s="13" t="s">
        <v>85</v>
      </c>
      <c r="R94" s="13" t="str">
        <f aca="false">TRIM(LEFT(A94,FIND("/",A94)-1))</f>
        <v>Traffic</v>
      </c>
      <c r="S94" s="13" t="str">
        <f aca="false">LEFT(C94,7)</f>
        <v>2026-07</v>
      </c>
    </row>
    <row r="95" customFormat="false" ht="15" hidden="false" customHeight="false" outlineLevel="0" collapsed="false">
      <c r="A95" s="13" t="s">
        <v>75</v>
      </c>
      <c r="B95" s="13" t="s">
        <v>79</v>
      </c>
      <c r="C95" s="13" t="s">
        <v>85</v>
      </c>
      <c r="D95" s="13" t="s">
        <v>69</v>
      </c>
      <c r="E95" s="13" t="s">
        <v>51</v>
      </c>
      <c r="F95" s="14" t="n">
        <v>12886</v>
      </c>
      <c r="G95" s="14" t="n">
        <v>14166</v>
      </c>
      <c r="H95" s="13" t="s">
        <v>52</v>
      </c>
      <c r="I95" s="14" t="n">
        <v>49045</v>
      </c>
      <c r="J95" s="14" t="n">
        <v>324</v>
      </c>
      <c r="K95" s="14"/>
      <c r="L95" s="14"/>
      <c r="M95" s="14" t="n">
        <v>1</v>
      </c>
      <c r="N95" s="14" t="n">
        <v>170154</v>
      </c>
      <c r="O95" s="15"/>
      <c r="P95" s="13" t="s">
        <v>85</v>
      </c>
      <c r="Q95" s="13" t="s">
        <v>85</v>
      </c>
      <c r="R95" s="13" t="str">
        <f aca="false">TRIM(LEFT(A95,FIND("/",A95)-1))</f>
        <v>Traffic</v>
      </c>
      <c r="S95" s="13" t="str">
        <f aca="false">LEFT(C95,7)</f>
        <v>2026-07</v>
      </c>
    </row>
    <row r="96" customFormat="false" ht="15" hidden="false" customHeight="false" outlineLevel="0" collapsed="false">
      <c r="A96" s="13" t="s">
        <v>66</v>
      </c>
      <c r="B96" s="13" t="s">
        <v>67</v>
      </c>
      <c r="C96" s="13" t="s">
        <v>86</v>
      </c>
      <c r="D96" s="13" t="s">
        <v>69</v>
      </c>
      <c r="E96" s="13" t="s">
        <v>51</v>
      </c>
      <c r="F96" s="14" t="n">
        <v>23361</v>
      </c>
      <c r="G96" s="14" t="n">
        <v>24521</v>
      </c>
      <c r="H96" s="13" t="s">
        <v>52</v>
      </c>
      <c r="I96" s="14" t="n">
        <v>34591</v>
      </c>
      <c r="J96" s="14" t="n">
        <v>4</v>
      </c>
      <c r="K96" s="14"/>
      <c r="L96" s="14"/>
      <c r="M96" s="14"/>
      <c r="N96" s="14"/>
      <c r="O96" s="15"/>
      <c r="P96" s="13" t="s">
        <v>86</v>
      </c>
      <c r="Q96" s="13" t="s">
        <v>86</v>
      </c>
      <c r="R96" s="13" t="str">
        <f aca="false">TRIM(LEFT(A96,FIND("/",A96)-1))</f>
        <v>Awareness</v>
      </c>
      <c r="S96" s="13" t="str">
        <f aca="false">LEFT(C96,7)</f>
        <v>2026-07</v>
      </c>
    </row>
    <row r="97" customFormat="false" ht="15" hidden="false" customHeight="false" outlineLevel="0" collapsed="false">
      <c r="A97" s="13" t="s">
        <v>66</v>
      </c>
      <c r="B97" s="13" t="s">
        <v>70</v>
      </c>
      <c r="C97" s="13" t="s">
        <v>86</v>
      </c>
      <c r="D97" s="13" t="s">
        <v>69</v>
      </c>
      <c r="E97" s="13" t="s">
        <v>51</v>
      </c>
      <c r="F97" s="14" t="n">
        <v>7027</v>
      </c>
      <c r="G97" s="14" t="n">
        <v>7027</v>
      </c>
      <c r="H97" s="13" t="s">
        <v>52</v>
      </c>
      <c r="I97" s="14" t="n">
        <v>9710</v>
      </c>
      <c r="J97" s="14" t="n">
        <v>4</v>
      </c>
      <c r="K97" s="14"/>
      <c r="L97" s="14"/>
      <c r="M97" s="14"/>
      <c r="N97" s="14"/>
      <c r="O97" s="15"/>
      <c r="P97" s="13" t="s">
        <v>86</v>
      </c>
      <c r="Q97" s="13" t="s">
        <v>86</v>
      </c>
      <c r="R97" s="13" t="str">
        <f aca="false">TRIM(LEFT(A97,FIND("/",A97)-1))</f>
        <v>Awareness</v>
      </c>
      <c r="S97" s="13" t="str">
        <f aca="false">LEFT(C97,7)</f>
        <v>2026-07</v>
      </c>
    </row>
    <row r="98" customFormat="false" ht="15" hidden="false" customHeight="false" outlineLevel="0" collapsed="false">
      <c r="A98" s="13" t="s">
        <v>66</v>
      </c>
      <c r="B98" s="13" t="s">
        <v>71</v>
      </c>
      <c r="C98" s="13" t="s">
        <v>86</v>
      </c>
      <c r="D98" s="13" t="s">
        <v>69</v>
      </c>
      <c r="E98" s="13" t="s">
        <v>51</v>
      </c>
      <c r="F98" s="14" t="n">
        <v>157741</v>
      </c>
      <c r="G98" s="14" t="n">
        <v>157741</v>
      </c>
      <c r="H98" s="13" t="s">
        <v>52</v>
      </c>
      <c r="I98" s="14" t="n">
        <v>226309</v>
      </c>
      <c r="J98" s="14" t="n">
        <v>26</v>
      </c>
      <c r="K98" s="14"/>
      <c r="L98" s="14"/>
      <c r="M98" s="14" t="n">
        <v>1</v>
      </c>
      <c r="N98" s="14" t="n">
        <v>178171</v>
      </c>
      <c r="O98" s="15"/>
      <c r="P98" s="13" t="s">
        <v>86</v>
      </c>
      <c r="Q98" s="13" t="s">
        <v>86</v>
      </c>
      <c r="R98" s="13" t="str">
        <f aca="false">TRIM(LEFT(A98,FIND("/",A98)-1))</f>
        <v>Awareness</v>
      </c>
      <c r="S98" s="13" t="str">
        <f aca="false">LEFT(C98,7)</f>
        <v>2026-07</v>
      </c>
    </row>
    <row r="99" customFormat="false" ht="15" hidden="false" customHeight="false" outlineLevel="0" collapsed="false">
      <c r="A99" s="13" t="s">
        <v>73</v>
      </c>
      <c r="B99" s="13" t="s">
        <v>74</v>
      </c>
      <c r="C99" s="13" t="s">
        <v>86</v>
      </c>
      <c r="D99" s="13" t="s">
        <v>69</v>
      </c>
      <c r="E99" s="13" t="s">
        <v>51</v>
      </c>
      <c r="F99" s="14" t="n">
        <v>6754</v>
      </c>
      <c r="G99" s="14" t="n">
        <v>7897</v>
      </c>
      <c r="H99" s="13" t="s">
        <v>52</v>
      </c>
      <c r="I99" s="14" t="n">
        <v>156482</v>
      </c>
      <c r="J99" s="14" t="n">
        <v>162</v>
      </c>
      <c r="K99" s="14"/>
      <c r="L99" s="14"/>
      <c r="M99" s="14" t="n">
        <v>13</v>
      </c>
      <c r="N99" s="14" t="n">
        <v>2241330</v>
      </c>
      <c r="O99" s="15"/>
      <c r="P99" s="13" t="s">
        <v>86</v>
      </c>
      <c r="Q99" s="13" t="s">
        <v>86</v>
      </c>
      <c r="R99" s="13" t="str">
        <f aca="false">TRIM(LEFT(A99,FIND("/",A99)-1))</f>
        <v>Sales</v>
      </c>
      <c r="S99" s="13" t="str">
        <f aca="false">LEFT(C99,7)</f>
        <v>2026-07</v>
      </c>
    </row>
    <row r="100" customFormat="false" ht="15" hidden="false" customHeight="false" outlineLevel="0" collapsed="false">
      <c r="A100" s="13" t="s">
        <v>75</v>
      </c>
      <c r="B100" s="13" t="s">
        <v>76</v>
      </c>
      <c r="C100" s="13" t="s">
        <v>86</v>
      </c>
      <c r="D100" s="13" t="s">
        <v>69</v>
      </c>
      <c r="E100" s="13" t="s">
        <v>51</v>
      </c>
      <c r="F100" s="14" t="n">
        <v>74473</v>
      </c>
      <c r="G100" s="14" t="n">
        <v>83890</v>
      </c>
      <c r="H100" s="13" t="s">
        <v>52</v>
      </c>
      <c r="I100" s="14" t="n">
        <v>148126</v>
      </c>
      <c r="J100" s="14" t="n">
        <v>1174</v>
      </c>
      <c r="K100" s="14"/>
      <c r="L100" s="14"/>
      <c r="M100" s="14" t="n">
        <v>7</v>
      </c>
      <c r="N100" s="14" t="n">
        <v>1100766</v>
      </c>
      <c r="O100" s="15"/>
      <c r="P100" s="13" t="s">
        <v>86</v>
      </c>
      <c r="Q100" s="13" t="s">
        <v>86</v>
      </c>
      <c r="R100" s="13" t="str">
        <f aca="false">TRIM(LEFT(A100,FIND("/",A100)-1))</f>
        <v>Traffic</v>
      </c>
      <c r="S100" s="13" t="str">
        <f aca="false">LEFT(C100,7)</f>
        <v>2026-07</v>
      </c>
    </row>
    <row r="101" customFormat="false" ht="15" hidden="false" customHeight="false" outlineLevel="0" collapsed="false">
      <c r="A101" s="13" t="s">
        <v>75</v>
      </c>
      <c r="B101" s="13" t="s">
        <v>77</v>
      </c>
      <c r="C101" s="13" t="s">
        <v>86</v>
      </c>
      <c r="D101" s="13" t="s">
        <v>69</v>
      </c>
      <c r="E101" s="13" t="s">
        <v>51</v>
      </c>
      <c r="F101" s="14" t="n">
        <v>207</v>
      </c>
      <c r="G101" s="14" t="n">
        <v>221</v>
      </c>
      <c r="H101" s="13" t="s">
        <v>52</v>
      </c>
      <c r="I101" s="14" t="n">
        <v>690</v>
      </c>
      <c r="J101" s="14" t="n">
        <v>4</v>
      </c>
      <c r="K101" s="14"/>
      <c r="L101" s="14"/>
      <c r="M101" s="14"/>
      <c r="N101" s="14"/>
      <c r="O101" s="15"/>
      <c r="P101" s="13" t="s">
        <v>86</v>
      </c>
      <c r="Q101" s="13" t="s">
        <v>86</v>
      </c>
      <c r="R101" s="13" t="str">
        <f aca="false">TRIM(LEFT(A101,FIND("/",A101)-1))</f>
        <v>Traffic</v>
      </c>
      <c r="S101" s="13" t="str">
        <f aca="false">LEFT(C101,7)</f>
        <v>2026-07</v>
      </c>
    </row>
    <row r="102" customFormat="false" ht="15" hidden="false" customHeight="false" outlineLevel="0" collapsed="false">
      <c r="A102" s="13" t="s">
        <v>75</v>
      </c>
      <c r="B102" s="13" t="s">
        <v>79</v>
      </c>
      <c r="C102" s="13" t="s">
        <v>86</v>
      </c>
      <c r="D102" s="13" t="s">
        <v>69</v>
      </c>
      <c r="E102" s="13" t="s">
        <v>51</v>
      </c>
      <c r="F102" s="14" t="n">
        <v>31906</v>
      </c>
      <c r="G102" s="14" t="n">
        <v>37812</v>
      </c>
      <c r="H102" s="13" t="s">
        <v>52</v>
      </c>
      <c r="I102" s="14" t="n">
        <v>131048</v>
      </c>
      <c r="J102" s="14" t="n">
        <v>966</v>
      </c>
      <c r="K102" s="14"/>
      <c r="L102" s="14"/>
      <c r="M102" s="14" t="n">
        <v>1</v>
      </c>
      <c r="N102" s="14" t="n">
        <v>172868</v>
      </c>
      <c r="O102" s="15"/>
      <c r="P102" s="13" t="s">
        <v>86</v>
      </c>
      <c r="Q102" s="13" t="s">
        <v>86</v>
      </c>
      <c r="R102" s="13" t="str">
        <f aca="false">TRIM(LEFT(A102,FIND("/",A102)-1))</f>
        <v>Traffic</v>
      </c>
      <c r="S102" s="13" t="str">
        <f aca="false">LEFT(C102,7)</f>
        <v>2026-07</v>
      </c>
    </row>
    <row r="103" customFormat="false" ht="15" hidden="false" customHeight="false" outlineLevel="0" collapsed="false">
      <c r="A103" s="13" t="s">
        <v>66</v>
      </c>
      <c r="B103" s="13" t="s">
        <v>67</v>
      </c>
      <c r="C103" s="13" t="s">
        <v>87</v>
      </c>
      <c r="D103" s="13" t="s">
        <v>69</v>
      </c>
      <c r="E103" s="13" t="s">
        <v>51</v>
      </c>
      <c r="F103" s="14" t="n">
        <v>20807</v>
      </c>
      <c r="G103" s="14" t="n">
        <v>20807</v>
      </c>
      <c r="H103" s="13" t="s">
        <v>52</v>
      </c>
      <c r="I103" s="14" t="n">
        <v>30174</v>
      </c>
      <c r="J103" s="14" t="n">
        <v>1</v>
      </c>
      <c r="K103" s="14"/>
      <c r="L103" s="14"/>
      <c r="M103" s="14"/>
      <c r="N103" s="14"/>
      <c r="O103" s="15"/>
      <c r="P103" s="13" t="s">
        <v>87</v>
      </c>
      <c r="Q103" s="13" t="s">
        <v>87</v>
      </c>
      <c r="R103" s="13" t="str">
        <f aca="false">TRIM(LEFT(A103,FIND("/",A103)-1))</f>
        <v>Awareness</v>
      </c>
      <c r="S103" s="13" t="str">
        <f aca="false">LEFT(C103,7)</f>
        <v>2026-07</v>
      </c>
    </row>
    <row r="104" customFormat="false" ht="15" hidden="false" customHeight="false" outlineLevel="0" collapsed="false">
      <c r="A104" s="13" t="s">
        <v>66</v>
      </c>
      <c r="B104" s="13" t="s">
        <v>70</v>
      </c>
      <c r="C104" s="13" t="s">
        <v>87</v>
      </c>
      <c r="D104" s="13" t="s">
        <v>69</v>
      </c>
      <c r="E104" s="13" t="s">
        <v>51</v>
      </c>
      <c r="F104" s="14" t="n">
        <v>1789</v>
      </c>
      <c r="G104" s="14" t="n">
        <v>1812</v>
      </c>
      <c r="H104" s="13" t="s">
        <v>52</v>
      </c>
      <c r="I104" s="14" t="n">
        <v>2633</v>
      </c>
      <c r="J104" s="14" t="n">
        <v>1</v>
      </c>
      <c r="K104" s="14"/>
      <c r="L104" s="14"/>
      <c r="M104" s="14"/>
      <c r="N104" s="14"/>
      <c r="O104" s="15"/>
      <c r="P104" s="13" t="s">
        <v>87</v>
      </c>
      <c r="Q104" s="13" t="s">
        <v>87</v>
      </c>
      <c r="R104" s="13" t="str">
        <f aca="false">TRIM(LEFT(A104,FIND("/",A104)-1))</f>
        <v>Awareness</v>
      </c>
      <c r="S104" s="13" t="str">
        <f aca="false">LEFT(C104,7)</f>
        <v>2026-07</v>
      </c>
    </row>
    <row r="105" customFormat="false" ht="15" hidden="false" customHeight="false" outlineLevel="0" collapsed="false">
      <c r="A105" s="13" t="s">
        <v>66</v>
      </c>
      <c r="B105" s="13" t="s">
        <v>71</v>
      </c>
      <c r="C105" s="13" t="s">
        <v>87</v>
      </c>
      <c r="D105" s="13" t="s">
        <v>69</v>
      </c>
      <c r="E105" s="13" t="s">
        <v>51</v>
      </c>
      <c r="F105" s="14" t="n">
        <v>167145</v>
      </c>
      <c r="G105" s="14" t="n">
        <v>167145</v>
      </c>
      <c r="H105" s="13" t="s">
        <v>52</v>
      </c>
      <c r="I105" s="14" t="n">
        <v>242626</v>
      </c>
      <c r="J105" s="14" t="n">
        <v>42</v>
      </c>
      <c r="K105" s="14"/>
      <c r="L105" s="14"/>
      <c r="M105" s="14"/>
      <c r="N105" s="14"/>
      <c r="O105" s="15"/>
      <c r="P105" s="13" t="s">
        <v>87</v>
      </c>
      <c r="Q105" s="13" t="s">
        <v>87</v>
      </c>
      <c r="R105" s="13" t="str">
        <f aca="false">TRIM(LEFT(A105,FIND("/",A105)-1))</f>
        <v>Awareness</v>
      </c>
      <c r="S105" s="13" t="str">
        <f aca="false">LEFT(C105,7)</f>
        <v>2026-07</v>
      </c>
    </row>
    <row r="106" customFormat="false" ht="15" hidden="false" customHeight="false" outlineLevel="0" collapsed="false">
      <c r="A106" s="13" t="s">
        <v>73</v>
      </c>
      <c r="B106" s="13" t="s">
        <v>74</v>
      </c>
      <c r="C106" s="13" t="s">
        <v>87</v>
      </c>
      <c r="D106" s="13" t="s">
        <v>69</v>
      </c>
      <c r="E106" s="13" t="s">
        <v>51</v>
      </c>
      <c r="F106" s="14" t="n">
        <v>13433</v>
      </c>
      <c r="G106" s="14" t="n">
        <v>15500</v>
      </c>
      <c r="H106" s="13" t="s">
        <v>52</v>
      </c>
      <c r="I106" s="14" t="n">
        <v>219481</v>
      </c>
      <c r="J106" s="14" t="n">
        <v>339</v>
      </c>
      <c r="K106" s="14" t="n">
        <v>6</v>
      </c>
      <c r="L106" s="14" t="n">
        <v>1028017</v>
      </c>
      <c r="M106" s="14" t="n">
        <v>50</v>
      </c>
      <c r="N106" s="14" t="n">
        <v>8265733</v>
      </c>
      <c r="O106" s="15" t="n">
        <v>4.68385418</v>
      </c>
      <c r="P106" s="13" t="s">
        <v>87</v>
      </c>
      <c r="Q106" s="13" t="s">
        <v>87</v>
      </c>
      <c r="R106" s="13" t="str">
        <f aca="false">TRIM(LEFT(A106,FIND("/",A106)-1))</f>
        <v>Sales</v>
      </c>
      <c r="S106" s="13" t="str">
        <f aca="false">LEFT(C106,7)</f>
        <v>2026-07</v>
      </c>
    </row>
    <row r="107" customFormat="false" ht="15" hidden="false" customHeight="false" outlineLevel="0" collapsed="false">
      <c r="A107" s="13" t="s">
        <v>75</v>
      </c>
      <c r="B107" s="13" t="s">
        <v>76</v>
      </c>
      <c r="C107" s="13" t="s">
        <v>87</v>
      </c>
      <c r="D107" s="13" t="s">
        <v>69</v>
      </c>
      <c r="E107" s="13" t="s">
        <v>51</v>
      </c>
      <c r="F107" s="14" t="n">
        <v>64328</v>
      </c>
      <c r="G107" s="14" t="n">
        <v>66795</v>
      </c>
      <c r="H107" s="13" t="s">
        <v>52</v>
      </c>
      <c r="I107" s="14" t="n">
        <v>123349</v>
      </c>
      <c r="J107" s="14" t="n">
        <v>980</v>
      </c>
      <c r="K107" s="14"/>
      <c r="L107" s="14"/>
      <c r="M107" s="14" t="n">
        <v>14</v>
      </c>
      <c r="N107" s="14" t="n">
        <v>2311847</v>
      </c>
      <c r="O107" s="15"/>
      <c r="P107" s="13" t="s">
        <v>87</v>
      </c>
      <c r="Q107" s="13" t="s">
        <v>87</v>
      </c>
      <c r="R107" s="13" t="str">
        <f aca="false">TRIM(LEFT(A107,FIND("/",A107)-1))</f>
        <v>Traffic</v>
      </c>
      <c r="S107" s="13" t="str">
        <f aca="false">LEFT(C107,7)</f>
        <v>2026-07</v>
      </c>
    </row>
    <row r="108" customFormat="false" ht="15" hidden="false" customHeight="false" outlineLevel="0" collapsed="false">
      <c r="A108" s="13" t="s">
        <v>75</v>
      </c>
      <c r="B108" s="13" t="s">
        <v>77</v>
      </c>
      <c r="C108" s="13" t="s">
        <v>87</v>
      </c>
      <c r="D108" s="13" t="s">
        <v>69</v>
      </c>
      <c r="E108" s="13" t="s">
        <v>51</v>
      </c>
      <c r="F108" s="14" t="n">
        <v>55</v>
      </c>
      <c r="G108" s="14" t="n">
        <v>60</v>
      </c>
      <c r="H108" s="13" t="s">
        <v>52</v>
      </c>
      <c r="I108" s="14" t="n">
        <v>201</v>
      </c>
      <c r="J108" s="14" t="n">
        <v>3</v>
      </c>
      <c r="K108" s="14"/>
      <c r="L108" s="14"/>
      <c r="M108" s="14"/>
      <c r="N108" s="14"/>
      <c r="O108" s="15"/>
      <c r="P108" s="13" t="s">
        <v>87</v>
      </c>
      <c r="Q108" s="13" t="s">
        <v>87</v>
      </c>
      <c r="R108" s="13" t="str">
        <f aca="false">TRIM(LEFT(A108,FIND("/",A108)-1))</f>
        <v>Traffic</v>
      </c>
      <c r="S108" s="13" t="str">
        <f aca="false">LEFT(C108,7)</f>
        <v>2026-07</v>
      </c>
    </row>
    <row r="109" customFormat="false" ht="15" hidden="false" customHeight="false" outlineLevel="0" collapsed="false">
      <c r="A109" s="13" t="s">
        <v>75</v>
      </c>
      <c r="B109" s="13" t="s">
        <v>79</v>
      </c>
      <c r="C109" s="13" t="s">
        <v>87</v>
      </c>
      <c r="D109" s="13" t="s">
        <v>69</v>
      </c>
      <c r="E109" s="13" t="s">
        <v>51</v>
      </c>
      <c r="F109" s="14" t="n">
        <v>52794</v>
      </c>
      <c r="G109" s="14" t="n">
        <v>70184</v>
      </c>
      <c r="H109" s="13" t="s">
        <v>52</v>
      </c>
      <c r="I109" s="14" t="n">
        <v>236307</v>
      </c>
      <c r="J109" s="14" t="n">
        <v>1737</v>
      </c>
      <c r="K109" s="14"/>
      <c r="L109" s="14"/>
      <c r="M109" s="14" t="n">
        <v>6</v>
      </c>
      <c r="N109" s="14" t="n">
        <v>1069026</v>
      </c>
      <c r="O109" s="15"/>
      <c r="P109" s="13" t="s">
        <v>87</v>
      </c>
      <c r="Q109" s="13" t="s">
        <v>87</v>
      </c>
      <c r="R109" s="13" t="str">
        <f aca="false">TRIM(LEFT(A109,FIND("/",A109)-1))</f>
        <v>Traffic</v>
      </c>
      <c r="S109" s="13" t="str">
        <f aca="false">LEFT(C109,7)</f>
        <v>2026-07</v>
      </c>
    </row>
    <row r="110" customFormat="false" ht="15" hidden="false" customHeight="false" outlineLevel="0" collapsed="false">
      <c r="A110" s="13" t="s">
        <v>66</v>
      </c>
      <c r="B110" s="13" t="s">
        <v>67</v>
      </c>
      <c r="C110" s="13" t="s">
        <v>88</v>
      </c>
      <c r="D110" s="13" t="s">
        <v>69</v>
      </c>
      <c r="E110" s="13" t="s">
        <v>51</v>
      </c>
      <c r="F110" s="14" t="n">
        <v>75620</v>
      </c>
      <c r="G110" s="14" t="n">
        <v>76223</v>
      </c>
      <c r="H110" s="13" t="s">
        <v>52</v>
      </c>
      <c r="I110" s="14" t="n">
        <v>106738</v>
      </c>
      <c r="J110" s="14" t="n">
        <v>19</v>
      </c>
      <c r="K110" s="14"/>
      <c r="L110" s="14"/>
      <c r="M110" s="14"/>
      <c r="N110" s="14"/>
      <c r="O110" s="15"/>
      <c r="P110" s="13" t="s">
        <v>88</v>
      </c>
      <c r="Q110" s="13" t="s">
        <v>88</v>
      </c>
      <c r="R110" s="13" t="str">
        <f aca="false">TRIM(LEFT(A110,FIND("/",A110)-1))</f>
        <v>Awareness</v>
      </c>
      <c r="S110" s="13" t="str">
        <f aca="false">LEFT(C110,7)</f>
        <v>2026-07</v>
      </c>
    </row>
    <row r="111" customFormat="false" ht="15" hidden="false" customHeight="false" outlineLevel="0" collapsed="false">
      <c r="A111" s="13" t="s">
        <v>66</v>
      </c>
      <c r="B111" s="13" t="s">
        <v>70</v>
      </c>
      <c r="C111" s="13" t="s">
        <v>88</v>
      </c>
      <c r="D111" s="13" t="s">
        <v>69</v>
      </c>
      <c r="E111" s="13" t="s">
        <v>51</v>
      </c>
      <c r="F111" s="14" t="n">
        <v>3162</v>
      </c>
      <c r="G111" s="14" t="n">
        <v>3188</v>
      </c>
      <c r="H111" s="13" t="s">
        <v>52</v>
      </c>
      <c r="I111" s="14" t="n">
        <v>4518</v>
      </c>
      <c r="J111" s="14" t="n">
        <v>1</v>
      </c>
      <c r="K111" s="14"/>
      <c r="L111" s="14"/>
      <c r="M111" s="14"/>
      <c r="N111" s="14"/>
      <c r="O111" s="15"/>
      <c r="P111" s="13" t="s">
        <v>88</v>
      </c>
      <c r="Q111" s="13" t="s">
        <v>88</v>
      </c>
      <c r="R111" s="13" t="str">
        <f aca="false">TRIM(LEFT(A111,FIND("/",A111)-1))</f>
        <v>Awareness</v>
      </c>
      <c r="S111" s="13" t="str">
        <f aca="false">LEFT(C111,7)</f>
        <v>2026-07</v>
      </c>
    </row>
    <row r="112" customFormat="false" ht="15" hidden="false" customHeight="false" outlineLevel="0" collapsed="false">
      <c r="A112" s="13" t="s">
        <v>66</v>
      </c>
      <c r="B112" s="13" t="s">
        <v>71</v>
      </c>
      <c r="C112" s="13" t="s">
        <v>88</v>
      </c>
      <c r="D112" s="13" t="s">
        <v>69</v>
      </c>
      <c r="E112" s="13" t="s">
        <v>51</v>
      </c>
      <c r="F112" s="14" t="n">
        <v>108456</v>
      </c>
      <c r="G112" s="14" t="n">
        <v>108456</v>
      </c>
      <c r="H112" s="13" t="s">
        <v>52</v>
      </c>
      <c r="I112" s="14" t="n">
        <v>153466</v>
      </c>
      <c r="J112" s="14" t="n">
        <v>35</v>
      </c>
      <c r="K112" s="14"/>
      <c r="L112" s="14"/>
      <c r="M112" s="14"/>
      <c r="N112" s="14"/>
      <c r="O112" s="15"/>
      <c r="P112" s="13" t="s">
        <v>88</v>
      </c>
      <c r="Q112" s="13" t="s">
        <v>88</v>
      </c>
      <c r="R112" s="13" t="str">
        <f aca="false">TRIM(LEFT(A112,FIND("/",A112)-1))</f>
        <v>Awareness</v>
      </c>
      <c r="S112" s="13" t="str">
        <f aca="false">LEFT(C112,7)</f>
        <v>2026-07</v>
      </c>
    </row>
    <row r="113" customFormat="false" ht="15" hidden="false" customHeight="false" outlineLevel="0" collapsed="false">
      <c r="A113" s="13" t="s">
        <v>73</v>
      </c>
      <c r="B113" s="13" t="s">
        <v>74</v>
      </c>
      <c r="C113" s="13" t="s">
        <v>88</v>
      </c>
      <c r="D113" s="13" t="s">
        <v>69</v>
      </c>
      <c r="E113" s="13" t="s">
        <v>51</v>
      </c>
      <c r="F113" s="14" t="n">
        <v>10835</v>
      </c>
      <c r="G113" s="14" t="n">
        <v>12385</v>
      </c>
      <c r="H113" s="13" t="s">
        <v>52</v>
      </c>
      <c r="I113" s="14" t="n">
        <v>215249</v>
      </c>
      <c r="J113" s="14" t="n">
        <v>281</v>
      </c>
      <c r="K113" s="14" t="n">
        <v>3</v>
      </c>
      <c r="L113" s="14" t="n">
        <v>461152</v>
      </c>
      <c r="M113" s="14" t="n">
        <v>37</v>
      </c>
      <c r="N113" s="14" t="n">
        <v>6342630</v>
      </c>
      <c r="O113" s="15" t="n">
        <v>2.14241181</v>
      </c>
      <c r="P113" s="13" t="s">
        <v>88</v>
      </c>
      <c r="Q113" s="13" t="s">
        <v>88</v>
      </c>
      <c r="R113" s="13" t="str">
        <f aca="false">TRIM(LEFT(A113,FIND("/",A113)-1))</f>
        <v>Sales</v>
      </c>
      <c r="S113" s="13" t="str">
        <f aca="false">LEFT(C113,7)</f>
        <v>2026-07</v>
      </c>
    </row>
    <row r="114" customFormat="false" ht="15" hidden="false" customHeight="false" outlineLevel="0" collapsed="false">
      <c r="A114" s="13" t="s">
        <v>75</v>
      </c>
      <c r="B114" s="13" t="s">
        <v>76</v>
      </c>
      <c r="C114" s="13" t="s">
        <v>88</v>
      </c>
      <c r="D114" s="13" t="s">
        <v>69</v>
      </c>
      <c r="E114" s="13" t="s">
        <v>51</v>
      </c>
      <c r="F114" s="14" t="n">
        <v>19038</v>
      </c>
      <c r="G114" s="14" t="n">
        <v>20979</v>
      </c>
      <c r="H114" s="13" t="s">
        <v>52</v>
      </c>
      <c r="I114" s="14" t="n">
        <v>43495</v>
      </c>
      <c r="J114" s="14" t="n">
        <v>380</v>
      </c>
      <c r="K114" s="14"/>
      <c r="L114" s="14"/>
      <c r="M114" s="14" t="n">
        <v>2</v>
      </c>
      <c r="N114" s="14" t="n">
        <v>295044</v>
      </c>
      <c r="O114" s="15"/>
      <c r="P114" s="13" t="s">
        <v>88</v>
      </c>
      <c r="Q114" s="13" t="s">
        <v>88</v>
      </c>
      <c r="R114" s="13" t="str">
        <f aca="false">TRIM(LEFT(A114,FIND("/",A114)-1))</f>
        <v>Traffic</v>
      </c>
      <c r="S114" s="13" t="str">
        <f aca="false">LEFT(C114,7)</f>
        <v>2026-07</v>
      </c>
    </row>
    <row r="115" customFormat="false" ht="15" hidden="false" customHeight="false" outlineLevel="0" collapsed="false">
      <c r="A115" s="13" t="s">
        <v>75</v>
      </c>
      <c r="B115" s="13" t="s">
        <v>77</v>
      </c>
      <c r="C115" s="13" t="s">
        <v>88</v>
      </c>
      <c r="D115" s="13" t="s">
        <v>69</v>
      </c>
      <c r="E115" s="13" t="s">
        <v>51</v>
      </c>
      <c r="F115" s="14" t="n">
        <v>78</v>
      </c>
      <c r="G115" s="14" t="n">
        <v>85</v>
      </c>
      <c r="H115" s="13" t="s">
        <v>52</v>
      </c>
      <c r="I115" s="14" t="n">
        <v>268</v>
      </c>
      <c r="J115" s="14" t="n">
        <v>3</v>
      </c>
      <c r="K115" s="14"/>
      <c r="L115" s="14"/>
      <c r="M115" s="14"/>
      <c r="N115" s="14"/>
      <c r="O115" s="15"/>
      <c r="P115" s="13" t="s">
        <v>88</v>
      </c>
      <c r="Q115" s="13" t="s">
        <v>88</v>
      </c>
      <c r="R115" s="13" t="str">
        <f aca="false">TRIM(LEFT(A115,FIND("/",A115)-1))</f>
        <v>Traffic</v>
      </c>
      <c r="S115" s="13" t="str">
        <f aca="false">LEFT(C115,7)</f>
        <v>2026-07</v>
      </c>
    </row>
    <row r="116" customFormat="false" ht="15" hidden="false" customHeight="false" outlineLevel="0" collapsed="false">
      <c r="A116" s="13" t="s">
        <v>75</v>
      </c>
      <c r="B116" s="13" t="s">
        <v>79</v>
      </c>
      <c r="C116" s="13" t="s">
        <v>88</v>
      </c>
      <c r="D116" s="13" t="s">
        <v>69</v>
      </c>
      <c r="E116" s="13" t="s">
        <v>51</v>
      </c>
      <c r="F116" s="14" t="n">
        <v>51982</v>
      </c>
      <c r="G116" s="14" t="n">
        <v>71419</v>
      </c>
      <c r="H116" s="13" t="s">
        <v>52</v>
      </c>
      <c r="I116" s="14" t="n">
        <v>245278</v>
      </c>
      <c r="J116" s="14" t="n">
        <v>1770</v>
      </c>
      <c r="K116" s="14"/>
      <c r="L116" s="14"/>
      <c r="M116" s="14" t="n">
        <v>4</v>
      </c>
      <c r="N116" s="14" t="n">
        <v>780612</v>
      </c>
      <c r="O116" s="15"/>
      <c r="P116" s="13" t="s">
        <v>88</v>
      </c>
      <c r="Q116" s="13" t="s">
        <v>88</v>
      </c>
      <c r="R116" s="13" t="str">
        <f aca="false">TRIM(LEFT(A116,FIND("/",A116)-1))</f>
        <v>Traffic</v>
      </c>
      <c r="S116" s="13" t="str">
        <f aca="false">LEFT(C116,7)</f>
        <v>2026-07</v>
      </c>
    </row>
    <row r="117" customFormat="false" ht="15" hidden="false" customHeight="false" outlineLevel="0" collapsed="false">
      <c r="A117" s="13" t="s">
        <v>66</v>
      </c>
      <c r="B117" s="13" t="s">
        <v>67</v>
      </c>
      <c r="C117" s="13" t="s">
        <v>89</v>
      </c>
      <c r="D117" s="13" t="s">
        <v>69</v>
      </c>
      <c r="E117" s="13" t="s">
        <v>51</v>
      </c>
      <c r="F117" s="14" t="n">
        <v>83836</v>
      </c>
      <c r="G117" s="14" t="n">
        <v>84457</v>
      </c>
      <c r="H117" s="13" t="s">
        <v>52</v>
      </c>
      <c r="I117" s="14" t="n">
        <v>116987</v>
      </c>
      <c r="J117" s="14" t="n">
        <v>14</v>
      </c>
      <c r="K117" s="14"/>
      <c r="L117" s="14"/>
      <c r="M117" s="14"/>
      <c r="N117" s="14"/>
      <c r="O117" s="15"/>
      <c r="P117" s="13" t="s">
        <v>89</v>
      </c>
      <c r="Q117" s="13" t="s">
        <v>89</v>
      </c>
      <c r="R117" s="13" t="str">
        <f aca="false">TRIM(LEFT(A117,FIND("/",A117)-1))</f>
        <v>Awareness</v>
      </c>
      <c r="S117" s="13" t="str">
        <f aca="false">LEFT(C117,7)</f>
        <v>2026-07</v>
      </c>
    </row>
    <row r="118" customFormat="false" ht="15" hidden="false" customHeight="false" outlineLevel="0" collapsed="false">
      <c r="A118" s="13" t="s">
        <v>66</v>
      </c>
      <c r="B118" s="13" t="s">
        <v>70</v>
      </c>
      <c r="C118" s="13" t="s">
        <v>89</v>
      </c>
      <c r="D118" s="13" t="s">
        <v>69</v>
      </c>
      <c r="E118" s="13" t="s">
        <v>51</v>
      </c>
      <c r="F118" s="14" t="n">
        <v>2807</v>
      </c>
      <c r="G118" s="14" t="n">
        <v>2807</v>
      </c>
      <c r="H118" s="13" t="s">
        <v>52</v>
      </c>
      <c r="I118" s="14" t="n">
        <v>3849</v>
      </c>
      <c r="J118" s="14" t="n">
        <v>1</v>
      </c>
      <c r="K118" s="14"/>
      <c r="L118" s="14"/>
      <c r="M118" s="14"/>
      <c r="N118" s="14"/>
      <c r="O118" s="15"/>
      <c r="P118" s="13" t="s">
        <v>89</v>
      </c>
      <c r="Q118" s="13" t="s">
        <v>89</v>
      </c>
      <c r="R118" s="13" t="str">
        <f aca="false">TRIM(LEFT(A118,FIND("/",A118)-1))</f>
        <v>Awareness</v>
      </c>
      <c r="S118" s="13" t="str">
        <f aca="false">LEFT(C118,7)</f>
        <v>2026-07</v>
      </c>
    </row>
    <row r="119" customFormat="false" ht="15" hidden="false" customHeight="false" outlineLevel="0" collapsed="false">
      <c r="A119" s="13" t="s">
        <v>66</v>
      </c>
      <c r="B119" s="13" t="s">
        <v>71</v>
      </c>
      <c r="C119" s="13" t="s">
        <v>89</v>
      </c>
      <c r="D119" s="13" t="s">
        <v>69</v>
      </c>
      <c r="E119" s="13" t="s">
        <v>51</v>
      </c>
      <c r="F119" s="14" t="n">
        <v>97492</v>
      </c>
      <c r="G119" s="14" t="n">
        <v>97492</v>
      </c>
      <c r="H119" s="13" t="s">
        <v>52</v>
      </c>
      <c r="I119" s="14" t="n">
        <v>135929</v>
      </c>
      <c r="J119" s="14" t="n">
        <v>25</v>
      </c>
      <c r="K119" s="14"/>
      <c r="L119" s="14"/>
      <c r="M119" s="14" t="n">
        <v>1</v>
      </c>
      <c r="N119" s="14" t="n">
        <v>116873</v>
      </c>
      <c r="O119" s="15"/>
      <c r="P119" s="13" t="s">
        <v>89</v>
      </c>
      <c r="Q119" s="13" t="s">
        <v>89</v>
      </c>
      <c r="R119" s="13" t="str">
        <f aca="false">TRIM(LEFT(A119,FIND("/",A119)-1))</f>
        <v>Awareness</v>
      </c>
      <c r="S119" s="13" t="str">
        <f aca="false">LEFT(C119,7)</f>
        <v>2026-07</v>
      </c>
    </row>
    <row r="120" customFormat="false" ht="15" hidden="false" customHeight="false" outlineLevel="0" collapsed="false">
      <c r="A120" s="13" t="s">
        <v>73</v>
      </c>
      <c r="B120" s="13" t="s">
        <v>74</v>
      </c>
      <c r="C120" s="13" t="s">
        <v>89</v>
      </c>
      <c r="D120" s="13" t="s">
        <v>69</v>
      </c>
      <c r="E120" s="13" t="s">
        <v>51</v>
      </c>
      <c r="F120" s="14" t="n">
        <v>16910</v>
      </c>
      <c r="G120" s="14" t="n">
        <v>19349</v>
      </c>
      <c r="H120" s="13" t="s">
        <v>52</v>
      </c>
      <c r="I120" s="14" t="n">
        <v>208595</v>
      </c>
      <c r="J120" s="14" t="n">
        <v>370</v>
      </c>
      <c r="K120" s="14" t="n">
        <v>2</v>
      </c>
      <c r="L120" s="14" t="n">
        <v>371960</v>
      </c>
      <c r="M120" s="14" t="n">
        <v>20</v>
      </c>
      <c r="N120" s="14" t="n">
        <v>3622209</v>
      </c>
      <c r="O120" s="15" t="n">
        <v>1.78316834</v>
      </c>
      <c r="P120" s="13" t="s">
        <v>89</v>
      </c>
      <c r="Q120" s="13" t="s">
        <v>89</v>
      </c>
      <c r="R120" s="13" t="str">
        <f aca="false">TRIM(LEFT(A120,FIND("/",A120)-1))</f>
        <v>Sales</v>
      </c>
      <c r="S120" s="13" t="str">
        <f aca="false">LEFT(C120,7)</f>
        <v>2026-07</v>
      </c>
    </row>
    <row r="121" customFormat="false" ht="15" hidden="false" customHeight="false" outlineLevel="0" collapsed="false">
      <c r="A121" s="13" t="s">
        <v>75</v>
      </c>
      <c r="B121" s="13" t="s">
        <v>76</v>
      </c>
      <c r="C121" s="13" t="s">
        <v>89</v>
      </c>
      <c r="D121" s="13" t="s">
        <v>69</v>
      </c>
      <c r="E121" s="13" t="s">
        <v>51</v>
      </c>
      <c r="F121" s="14" t="n">
        <v>14726</v>
      </c>
      <c r="G121" s="14" t="n">
        <v>16018</v>
      </c>
      <c r="H121" s="13" t="s">
        <v>52</v>
      </c>
      <c r="I121" s="14" t="n">
        <v>48693</v>
      </c>
      <c r="J121" s="14" t="n">
        <v>382</v>
      </c>
      <c r="K121" s="14"/>
      <c r="L121" s="14"/>
      <c r="M121" s="14" t="n">
        <v>1</v>
      </c>
      <c r="N121" s="14" t="n">
        <v>239900</v>
      </c>
      <c r="O121" s="15"/>
      <c r="P121" s="13" t="s">
        <v>89</v>
      </c>
      <c r="Q121" s="13" t="s">
        <v>89</v>
      </c>
      <c r="R121" s="13" t="str">
        <f aca="false">TRIM(LEFT(A121,FIND("/",A121)-1))</f>
        <v>Traffic</v>
      </c>
      <c r="S121" s="13" t="str">
        <f aca="false">LEFT(C121,7)</f>
        <v>2026-07</v>
      </c>
    </row>
    <row r="122" customFormat="false" ht="15" hidden="false" customHeight="false" outlineLevel="0" collapsed="false">
      <c r="A122" s="13" t="s">
        <v>75</v>
      </c>
      <c r="B122" s="13" t="s">
        <v>77</v>
      </c>
      <c r="C122" s="13" t="s">
        <v>89</v>
      </c>
      <c r="D122" s="13" t="s">
        <v>69</v>
      </c>
      <c r="E122" s="13" t="s">
        <v>51</v>
      </c>
      <c r="F122" s="14" t="n">
        <v>84</v>
      </c>
      <c r="G122" s="14" t="n">
        <v>84</v>
      </c>
      <c r="H122" s="13" t="s">
        <v>52</v>
      </c>
      <c r="I122" s="14" t="n">
        <v>306</v>
      </c>
      <c r="J122" s="14" t="n">
        <v>4</v>
      </c>
      <c r="K122" s="14"/>
      <c r="L122" s="14"/>
      <c r="M122" s="14"/>
      <c r="N122" s="14"/>
      <c r="O122" s="15"/>
      <c r="P122" s="13" t="s">
        <v>89</v>
      </c>
      <c r="Q122" s="13" t="s">
        <v>89</v>
      </c>
      <c r="R122" s="13" t="str">
        <f aca="false">TRIM(LEFT(A122,FIND("/",A122)-1))</f>
        <v>Traffic</v>
      </c>
      <c r="S122" s="13" t="str">
        <f aca="false">LEFT(C122,7)</f>
        <v>2026-07</v>
      </c>
    </row>
    <row r="123" customFormat="false" ht="15" hidden="false" customHeight="false" outlineLevel="0" collapsed="false">
      <c r="A123" s="13" t="s">
        <v>75</v>
      </c>
      <c r="B123" s="13" t="s">
        <v>79</v>
      </c>
      <c r="C123" s="13" t="s">
        <v>89</v>
      </c>
      <c r="D123" s="13" t="s">
        <v>69</v>
      </c>
      <c r="E123" s="13" t="s">
        <v>51</v>
      </c>
      <c r="F123" s="14" t="n">
        <v>54203</v>
      </c>
      <c r="G123" s="14" t="n">
        <v>67182</v>
      </c>
      <c r="H123" s="13" t="s">
        <v>52</v>
      </c>
      <c r="I123" s="14" t="n">
        <v>241877</v>
      </c>
      <c r="J123" s="14" t="n">
        <v>1780</v>
      </c>
      <c r="K123" s="14"/>
      <c r="L123" s="14"/>
      <c r="M123" s="14" t="n">
        <v>1</v>
      </c>
      <c r="N123" s="14" t="n">
        <v>203545</v>
      </c>
      <c r="O123" s="15"/>
      <c r="P123" s="13" t="s">
        <v>89</v>
      </c>
      <c r="Q123" s="13" t="s">
        <v>89</v>
      </c>
      <c r="R123" s="13" t="str">
        <f aca="false">TRIM(LEFT(A123,FIND("/",A123)-1))</f>
        <v>Traffic</v>
      </c>
      <c r="S123" s="13" t="str">
        <f aca="false">LEFT(C123,7)</f>
        <v>2026-07</v>
      </c>
    </row>
    <row r="124" customFormat="false" ht="15" hidden="false" customHeight="false" outlineLevel="0" collapsed="false">
      <c r="A124" s="13" t="s">
        <v>66</v>
      </c>
      <c r="B124" s="13" t="s">
        <v>67</v>
      </c>
      <c r="C124" s="13" t="s">
        <v>90</v>
      </c>
      <c r="D124" s="13" t="s">
        <v>69</v>
      </c>
      <c r="E124" s="13" t="s">
        <v>51</v>
      </c>
      <c r="F124" s="14" t="n">
        <v>139020</v>
      </c>
      <c r="G124" s="14" t="n">
        <v>139602</v>
      </c>
      <c r="H124" s="13" t="s">
        <v>52</v>
      </c>
      <c r="I124" s="14" t="n">
        <v>193013</v>
      </c>
      <c r="J124" s="14" t="n">
        <v>25</v>
      </c>
      <c r="K124" s="14"/>
      <c r="L124" s="14"/>
      <c r="M124" s="14"/>
      <c r="N124" s="14"/>
      <c r="O124" s="15"/>
      <c r="P124" s="13" t="s">
        <v>90</v>
      </c>
      <c r="Q124" s="13" t="s">
        <v>90</v>
      </c>
      <c r="R124" s="13" t="str">
        <f aca="false">TRIM(LEFT(A124,FIND("/",A124)-1))</f>
        <v>Awareness</v>
      </c>
      <c r="S124" s="13" t="str">
        <f aca="false">LEFT(C124,7)</f>
        <v>2026-07</v>
      </c>
    </row>
    <row r="125" customFormat="false" ht="15" hidden="false" customHeight="false" outlineLevel="0" collapsed="false">
      <c r="A125" s="13" t="s">
        <v>66</v>
      </c>
      <c r="B125" s="13" t="s">
        <v>70</v>
      </c>
      <c r="C125" s="13" t="s">
        <v>90</v>
      </c>
      <c r="D125" s="13" t="s">
        <v>69</v>
      </c>
      <c r="E125" s="13" t="s">
        <v>51</v>
      </c>
      <c r="F125" s="14" t="n">
        <v>3168</v>
      </c>
      <c r="G125" s="14" t="n">
        <v>3168</v>
      </c>
      <c r="H125" s="13" t="s">
        <v>52</v>
      </c>
      <c r="I125" s="14" t="n">
        <v>4370</v>
      </c>
      <c r="J125" s="14" t="n">
        <v>2</v>
      </c>
      <c r="K125" s="14"/>
      <c r="L125" s="14"/>
      <c r="M125" s="14"/>
      <c r="N125" s="14"/>
      <c r="O125" s="15"/>
      <c r="P125" s="13" t="s">
        <v>90</v>
      </c>
      <c r="Q125" s="13" t="s">
        <v>90</v>
      </c>
      <c r="R125" s="13" t="str">
        <f aca="false">TRIM(LEFT(A125,FIND("/",A125)-1))</f>
        <v>Awareness</v>
      </c>
      <c r="S125" s="13" t="str">
        <f aca="false">LEFT(C125,7)</f>
        <v>2026-07</v>
      </c>
    </row>
    <row r="126" customFormat="false" ht="15" hidden="false" customHeight="false" outlineLevel="0" collapsed="false">
      <c r="A126" s="13" t="s">
        <v>66</v>
      </c>
      <c r="B126" s="13" t="s">
        <v>71</v>
      </c>
      <c r="C126" s="13" t="s">
        <v>90</v>
      </c>
      <c r="D126" s="13" t="s">
        <v>69</v>
      </c>
      <c r="E126" s="13" t="s">
        <v>51</v>
      </c>
      <c r="F126" s="14" t="n">
        <v>39869</v>
      </c>
      <c r="G126" s="14" t="n">
        <v>39869</v>
      </c>
      <c r="H126" s="13" t="s">
        <v>52</v>
      </c>
      <c r="I126" s="14" t="n">
        <v>55429</v>
      </c>
      <c r="J126" s="14" t="n">
        <v>9</v>
      </c>
      <c r="K126" s="14"/>
      <c r="L126" s="14"/>
      <c r="M126" s="14"/>
      <c r="N126" s="14"/>
      <c r="O126" s="15"/>
      <c r="P126" s="13" t="s">
        <v>90</v>
      </c>
      <c r="Q126" s="13" t="s">
        <v>90</v>
      </c>
      <c r="R126" s="13" t="str">
        <f aca="false">TRIM(LEFT(A126,FIND("/",A126)-1))</f>
        <v>Awareness</v>
      </c>
      <c r="S126" s="13" t="str">
        <f aca="false">LEFT(C126,7)</f>
        <v>2026-07</v>
      </c>
    </row>
    <row r="127" customFormat="false" ht="15" hidden="false" customHeight="false" outlineLevel="0" collapsed="false">
      <c r="A127" s="13" t="s">
        <v>73</v>
      </c>
      <c r="B127" s="13" t="s">
        <v>74</v>
      </c>
      <c r="C127" s="13" t="s">
        <v>90</v>
      </c>
      <c r="D127" s="13" t="s">
        <v>69</v>
      </c>
      <c r="E127" s="13" t="s">
        <v>51</v>
      </c>
      <c r="F127" s="14" t="n">
        <v>14022</v>
      </c>
      <c r="G127" s="14" t="n">
        <v>16432</v>
      </c>
      <c r="H127" s="13" t="s">
        <v>52</v>
      </c>
      <c r="I127" s="14" t="n">
        <v>234279</v>
      </c>
      <c r="J127" s="14" t="n">
        <v>461</v>
      </c>
      <c r="K127" s="14" t="n">
        <v>4</v>
      </c>
      <c r="L127" s="14" t="n">
        <v>883373</v>
      </c>
      <c r="M127" s="14" t="n">
        <v>38</v>
      </c>
      <c r="N127" s="14" t="n">
        <v>6366746</v>
      </c>
      <c r="O127" s="15" t="n">
        <v>3.77060257</v>
      </c>
      <c r="P127" s="13" t="s">
        <v>90</v>
      </c>
      <c r="Q127" s="13" t="s">
        <v>90</v>
      </c>
      <c r="R127" s="13" t="str">
        <f aca="false">TRIM(LEFT(A127,FIND("/",A127)-1))</f>
        <v>Sales</v>
      </c>
      <c r="S127" s="13" t="str">
        <f aca="false">LEFT(C127,7)</f>
        <v>2026-07</v>
      </c>
    </row>
    <row r="128" customFormat="false" ht="15" hidden="false" customHeight="false" outlineLevel="0" collapsed="false">
      <c r="A128" s="13" t="s">
        <v>75</v>
      </c>
      <c r="B128" s="13" t="s">
        <v>76</v>
      </c>
      <c r="C128" s="13" t="s">
        <v>90</v>
      </c>
      <c r="D128" s="13" t="s">
        <v>69</v>
      </c>
      <c r="E128" s="13" t="s">
        <v>51</v>
      </c>
      <c r="F128" s="14" t="n">
        <v>18573</v>
      </c>
      <c r="G128" s="14" t="n">
        <v>19501</v>
      </c>
      <c r="H128" s="13" t="s">
        <v>52</v>
      </c>
      <c r="I128" s="14" t="n">
        <v>66671</v>
      </c>
      <c r="J128" s="14" t="n">
        <v>599</v>
      </c>
      <c r="K128" s="14"/>
      <c r="L128" s="14"/>
      <c r="M128" s="14" t="n">
        <v>1</v>
      </c>
      <c r="N128" s="14" t="n">
        <v>178171</v>
      </c>
      <c r="O128" s="15"/>
      <c r="P128" s="13" t="s">
        <v>90</v>
      </c>
      <c r="Q128" s="13" t="s">
        <v>90</v>
      </c>
      <c r="R128" s="13" t="str">
        <f aca="false">TRIM(LEFT(A128,FIND("/",A128)-1))</f>
        <v>Traffic</v>
      </c>
      <c r="S128" s="13" t="str">
        <f aca="false">LEFT(C128,7)</f>
        <v>2026-07</v>
      </c>
    </row>
    <row r="129" customFormat="false" ht="15" hidden="false" customHeight="false" outlineLevel="0" collapsed="false">
      <c r="A129" s="13" t="s">
        <v>75</v>
      </c>
      <c r="B129" s="13" t="s">
        <v>77</v>
      </c>
      <c r="C129" s="13" t="s">
        <v>90</v>
      </c>
      <c r="D129" s="13" t="s">
        <v>69</v>
      </c>
      <c r="E129" s="13" t="s">
        <v>51</v>
      </c>
      <c r="F129" s="14" t="n">
        <v>244</v>
      </c>
      <c r="G129" s="14" t="n">
        <v>259</v>
      </c>
      <c r="H129" s="13" t="s">
        <v>52</v>
      </c>
      <c r="I129" s="14" t="n">
        <v>1045</v>
      </c>
      <c r="J129" s="14" t="n">
        <v>11</v>
      </c>
      <c r="K129" s="14"/>
      <c r="L129" s="14"/>
      <c r="M129" s="14"/>
      <c r="N129" s="14"/>
      <c r="O129" s="15"/>
      <c r="P129" s="13" t="s">
        <v>90</v>
      </c>
      <c r="Q129" s="13" t="s">
        <v>90</v>
      </c>
      <c r="R129" s="13" t="str">
        <f aca="false">TRIM(LEFT(A129,FIND("/",A129)-1))</f>
        <v>Traffic</v>
      </c>
      <c r="S129" s="13" t="str">
        <f aca="false">LEFT(C129,7)</f>
        <v>2026-07</v>
      </c>
    </row>
    <row r="130" customFormat="false" ht="15" hidden="false" customHeight="false" outlineLevel="0" collapsed="false">
      <c r="A130" s="13" t="s">
        <v>75</v>
      </c>
      <c r="B130" s="13" t="s">
        <v>79</v>
      </c>
      <c r="C130" s="13" t="s">
        <v>90</v>
      </c>
      <c r="D130" s="13" t="s">
        <v>69</v>
      </c>
      <c r="E130" s="13" t="s">
        <v>51</v>
      </c>
      <c r="F130" s="14" t="n">
        <v>46031</v>
      </c>
      <c r="G130" s="14" t="n">
        <v>54495</v>
      </c>
      <c r="H130" s="13" t="s">
        <v>52</v>
      </c>
      <c r="I130" s="14" t="n">
        <v>205545</v>
      </c>
      <c r="J130" s="14" t="n">
        <v>1782</v>
      </c>
      <c r="K130" s="14"/>
      <c r="L130" s="14"/>
      <c r="M130" s="14" t="n">
        <v>7</v>
      </c>
      <c r="N130" s="14" t="n">
        <v>1197881</v>
      </c>
      <c r="O130" s="15"/>
      <c r="P130" s="13" t="s">
        <v>90</v>
      </c>
      <c r="Q130" s="13" t="s">
        <v>90</v>
      </c>
      <c r="R130" s="13" t="str">
        <f aca="false">TRIM(LEFT(A130,FIND("/",A130)-1))</f>
        <v>Traffic</v>
      </c>
      <c r="S130" s="13" t="str">
        <f aca="false">LEFT(C130,7)</f>
        <v>2026-07</v>
      </c>
    </row>
    <row r="131" customFormat="false" ht="15" hidden="false" customHeight="false" outlineLevel="0" collapsed="false">
      <c r="A131" s="13" t="s">
        <v>66</v>
      </c>
      <c r="B131" s="13" t="s">
        <v>67</v>
      </c>
      <c r="C131" s="13" t="s">
        <v>91</v>
      </c>
      <c r="D131" s="13" t="s">
        <v>69</v>
      </c>
      <c r="E131" s="13" t="s">
        <v>51</v>
      </c>
      <c r="F131" s="14" t="n">
        <v>134698</v>
      </c>
      <c r="G131" s="14" t="n">
        <v>136582</v>
      </c>
      <c r="H131" s="13" t="s">
        <v>52</v>
      </c>
      <c r="I131" s="14" t="n">
        <v>190228</v>
      </c>
      <c r="J131" s="14" t="n">
        <v>24</v>
      </c>
      <c r="K131" s="14"/>
      <c r="L131" s="14"/>
      <c r="M131" s="14"/>
      <c r="N131" s="14"/>
      <c r="O131" s="15"/>
      <c r="P131" s="13" t="s">
        <v>91</v>
      </c>
      <c r="Q131" s="13" t="s">
        <v>91</v>
      </c>
      <c r="R131" s="13" t="str">
        <f aca="false">TRIM(LEFT(A131,FIND("/",A131)-1))</f>
        <v>Awareness</v>
      </c>
      <c r="S131" s="13" t="str">
        <f aca="false">LEFT(C131,7)</f>
        <v>2026-07</v>
      </c>
    </row>
    <row r="132" customFormat="false" ht="15" hidden="false" customHeight="false" outlineLevel="0" collapsed="false">
      <c r="A132" s="13" t="s">
        <v>66</v>
      </c>
      <c r="B132" s="13" t="s">
        <v>70</v>
      </c>
      <c r="C132" s="13" t="s">
        <v>91</v>
      </c>
      <c r="D132" s="13" t="s">
        <v>69</v>
      </c>
      <c r="E132" s="13" t="s">
        <v>51</v>
      </c>
      <c r="F132" s="14" t="n">
        <v>3096</v>
      </c>
      <c r="G132" s="14" t="n">
        <v>3126</v>
      </c>
      <c r="H132" s="13" t="s">
        <v>52</v>
      </c>
      <c r="I132" s="14" t="n">
        <v>4288</v>
      </c>
      <c r="J132" s="14" t="n">
        <v>1</v>
      </c>
      <c r="K132" s="14"/>
      <c r="L132" s="14"/>
      <c r="M132" s="14"/>
      <c r="N132" s="14"/>
      <c r="O132" s="15"/>
      <c r="P132" s="13" t="s">
        <v>91</v>
      </c>
      <c r="Q132" s="13" t="s">
        <v>91</v>
      </c>
      <c r="R132" s="13" t="str">
        <f aca="false">TRIM(LEFT(A132,FIND("/",A132)-1))</f>
        <v>Awareness</v>
      </c>
      <c r="S132" s="13" t="str">
        <f aca="false">LEFT(C132,7)</f>
        <v>2026-07</v>
      </c>
    </row>
    <row r="133" customFormat="false" ht="15" hidden="false" customHeight="false" outlineLevel="0" collapsed="false">
      <c r="A133" s="13" t="s">
        <v>66</v>
      </c>
      <c r="B133" s="13" t="s">
        <v>71</v>
      </c>
      <c r="C133" s="13" t="s">
        <v>91</v>
      </c>
      <c r="D133" s="13" t="s">
        <v>69</v>
      </c>
      <c r="E133" s="13" t="s">
        <v>51</v>
      </c>
      <c r="F133" s="14" t="n">
        <v>40855</v>
      </c>
      <c r="G133" s="14" t="n">
        <v>41544</v>
      </c>
      <c r="H133" s="13" t="s">
        <v>52</v>
      </c>
      <c r="I133" s="14" t="n">
        <v>57745</v>
      </c>
      <c r="J133" s="14" t="n">
        <v>7</v>
      </c>
      <c r="K133" s="14"/>
      <c r="L133" s="14"/>
      <c r="M133" s="14"/>
      <c r="N133" s="14"/>
      <c r="O133" s="15"/>
      <c r="P133" s="13" t="s">
        <v>91</v>
      </c>
      <c r="Q133" s="13" t="s">
        <v>91</v>
      </c>
      <c r="R133" s="13" t="str">
        <f aca="false">TRIM(LEFT(A133,FIND("/",A133)-1))</f>
        <v>Awareness</v>
      </c>
      <c r="S133" s="13" t="str">
        <f aca="false">LEFT(C133,7)</f>
        <v>2026-07</v>
      </c>
    </row>
    <row r="134" customFormat="false" ht="15" hidden="false" customHeight="false" outlineLevel="0" collapsed="false">
      <c r="A134" s="13" t="s">
        <v>73</v>
      </c>
      <c r="B134" s="13" t="s">
        <v>74</v>
      </c>
      <c r="C134" s="13" t="s">
        <v>91</v>
      </c>
      <c r="D134" s="13" t="s">
        <v>69</v>
      </c>
      <c r="E134" s="13" t="s">
        <v>51</v>
      </c>
      <c r="F134" s="14" t="n">
        <v>9679</v>
      </c>
      <c r="G134" s="14" t="n">
        <v>11848</v>
      </c>
      <c r="H134" s="13" t="s">
        <v>52</v>
      </c>
      <c r="I134" s="14" t="n">
        <v>189345</v>
      </c>
      <c r="J134" s="14" t="n">
        <v>321</v>
      </c>
      <c r="K134" s="14" t="n">
        <v>3</v>
      </c>
      <c r="L134" s="14" t="n">
        <v>625636</v>
      </c>
      <c r="M134" s="14" t="n">
        <v>31</v>
      </c>
      <c r="N134" s="14" t="n">
        <v>5557042</v>
      </c>
      <c r="O134" s="15" t="n">
        <v>3.30421189</v>
      </c>
      <c r="P134" s="13" t="s">
        <v>91</v>
      </c>
      <c r="Q134" s="13" t="s">
        <v>91</v>
      </c>
      <c r="R134" s="13" t="str">
        <f aca="false">TRIM(LEFT(A134,FIND("/",A134)-1))</f>
        <v>Sales</v>
      </c>
      <c r="S134" s="13" t="str">
        <f aca="false">LEFT(C134,7)</f>
        <v>2026-07</v>
      </c>
    </row>
    <row r="135" customFormat="false" ht="15" hidden="false" customHeight="false" outlineLevel="0" collapsed="false">
      <c r="A135" s="13" t="s">
        <v>75</v>
      </c>
      <c r="B135" s="13" t="s">
        <v>76</v>
      </c>
      <c r="C135" s="13" t="s">
        <v>91</v>
      </c>
      <c r="D135" s="13" t="s">
        <v>69</v>
      </c>
      <c r="E135" s="13" t="s">
        <v>51</v>
      </c>
      <c r="F135" s="14" t="n">
        <v>53913</v>
      </c>
      <c r="G135" s="14" t="n">
        <v>61732</v>
      </c>
      <c r="H135" s="13" t="s">
        <v>52</v>
      </c>
      <c r="I135" s="14" t="n">
        <v>160471</v>
      </c>
      <c r="J135" s="14" t="n">
        <v>1490</v>
      </c>
      <c r="K135" s="14"/>
      <c r="L135" s="14"/>
      <c r="M135" s="14" t="n">
        <v>5</v>
      </c>
      <c r="N135" s="14" t="n">
        <v>720267</v>
      </c>
      <c r="O135" s="15"/>
      <c r="P135" s="13" t="s">
        <v>91</v>
      </c>
      <c r="Q135" s="13" t="s">
        <v>91</v>
      </c>
      <c r="R135" s="13" t="str">
        <f aca="false">TRIM(LEFT(A135,FIND("/",A135)-1))</f>
        <v>Traffic</v>
      </c>
      <c r="S135" s="13" t="str">
        <f aca="false">LEFT(C135,7)</f>
        <v>2026-07</v>
      </c>
    </row>
    <row r="136" customFormat="false" ht="15" hidden="false" customHeight="false" outlineLevel="0" collapsed="false">
      <c r="A136" s="13" t="s">
        <v>75</v>
      </c>
      <c r="B136" s="13" t="s">
        <v>77</v>
      </c>
      <c r="C136" s="13" t="s">
        <v>91</v>
      </c>
      <c r="D136" s="13" t="s">
        <v>69</v>
      </c>
      <c r="E136" s="13" t="s">
        <v>51</v>
      </c>
      <c r="F136" s="14" t="n">
        <v>471</v>
      </c>
      <c r="G136" s="14" t="n">
        <v>491</v>
      </c>
      <c r="H136" s="13" t="s">
        <v>52</v>
      </c>
      <c r="I136" s="14" t="n">
        <v>2209</v>
      </c>
      <c r="J136" s="14" t="n">
        <v>17</v>
      </c>
      <c r="K136" s="14"/>
      <c r="L136" s="14"/>
      <c r="M136" s="14"/>
      <c r="N136" s="14"/>
      <c r="O136" s="15"/>
      <c r="P136" s="13" t="s">
        <v>91</v>
      </c>
      <c r="Q136" s="13" t="s">
        <v>91</v>
      </c>
      <c r="R136" s="13" t="str">
        <f aca="false">TRIM(LEFT(A136,FIND("/",A136)-1))</f>
        <v>Traffic</v>
      </c>
      <c r="S136" s="13" t="str">
        <f aca="false">LEFT(C136,7)</f>
        <v>2026-07</v>
      </c>
    </row>
    <row r="137" customFormat="false" ht="15" hidden="false" customHeight="false" outlineLevel="0" collapsed="false">
      <c r="A137" s="13" t="s">
        <v>75</v>
      </c>
      <c r="B137" s="13" t="s">
        <v>79</v>
      </c>
      <c r="C137" s="13" t="s">
        <v>91</v>
      </c>
      <c r="D137" s="13" t="s">
        <v>69</v>
      </c>
      <c r="E137" s="13" t="s">
        <v>51</v>
      </c>
      <c r="F137" s="14" t="n">
        <v>40410</v>
      </c>
      <c r="G137" s="14" t="n">
        <v>47404</v>
      </c>
      <c r="H137" s="13" t="s">
        <v>52</v>
      </c>
      <c r="I137" s="14" t="n">
        <v>164287</v>
      </c>
      <c r="J137" s="14" t="n">
        <v>1631</v>
      </c>
      <c r="K137" s="14"/>
      <c r="L137" s="14"/>
      <c r="M137" s="14" t="n">
        <v>2</v>
      </c>
      <c r="N137" s="14" t="n">
        <v>356342</v>
      </c>
      <c r="O137" s="15"/>
      <c r="P137" s="13" t="s">
        <v>91</v>
      </c>
      <c r="Q137" s="13" t="s">
        <v>91</v>
      </c>
      <c r="R137" s="13" t="str">
        <f aca="false">TRIM(LEFT(A137,FIND("/",A137)-1))</f>
        <v>Traffic</v>
      </c>
      <c r="S137" s="13" t="str">
        <f aca="false">LEFT(C137,7)</f>
        <v>2026-07</v>
      </c>
    </row>
    <row r="138" customFormat="false" ht="15" hidden="false" customHeight="false" outlineLevel="0" collapsed="false">
      <c r="A138" s="13" t="s">
        <v>66</v>
      </c>
      <c r="B138" s="13" t="s">
        <v>67</v>
      </c>
      <c r="C138" s="13" t="s">
        <v>92</v>
      </c>
      <c r="D138" s="13" t="s">
        <v>69</v>
      </c>
      <c r="E138" s="13" t="s">
        <v>51</v>
      </c>
      <c r="F138" s="14" t="n">
        <v>86992</v>
      </c>
      <c r="G138" s="14" t="n">
        <v>87636</v>
      </c>
      <c r="H138" s="13" t="s">
        <v>52</v>
      </c>
      <c r="I138" s="14" t="n">
        <v>122140</v>
      </c>
      <c r="J138" s="14" t="n">
        <v>14</v>
      </c>
      <c r="K138" s="14"/>
      <c r="L138" s="14"/>
      <c r="M138" s="14"/>
      <c r="N138" s="14"/>
      <c r="O138" s="15"/>
      <c r="P138" s="13" t="s">
        <v>92</v>
      </c>
      <c r="Q138" s="13" t="s">
        <v>92</v>
      </c>
      <c r="R138" s="13" t="str">
        <f aca="false">TRIM(LEFT(A138,FIND("/",A138)-1))</f>
        <v>Awareness</v>
      </c>
      <c r="S138" s="13" t="str">
        <f aca="false">LEFT(C138,7)</f>
        <v>2026-07</v>
      </c>
    </row>
    <row r="139" customFormat="false" ht="15" hidden="false" customHeight="false" outlineLevel="0" collapsed="false">
      <c r="A139" s="13" t="s">
        <v>66</v>
      </c>
      <c r="B139" s="13" t="s">
        <v>70</v>
      </c>
      <c r="C139" s="13" t="s">
        <v>92</v>
      </c>
      <c r="D139" s="13" t="s">
        <v>69</v>
      </c>
      <c r="E139" s="13" t="s">
        <v>51</v>
      </c>
      <c r="F139" s="14" t="n">
        <v>5149</v>
      </c>
      <c r="G139" s="14" t="n">
        <v>5160</v>
      </c>
      <c r="H139" s="13" t="s">
        <v>52</v>
      </c>
      <c r="I139" s="14" t="n">
        <v>7139</v>
      </c>
      <c r="J139" s="14" t="n">
        <v>3</v>
      </c>
      <c r="K139" s="14"/>
      <c r="L139" s="14"/>
      <c r="M139" s="14"/>
      <c r="N139" s="14"/>
      <c r="O139" s="15"/>
      <c r="P139" s="13" t="s">
        <v>92</v>
      </c>
      <c r="Q139" s="13" t="s">
        <v>92</v>
      </c>
      <c r="R139" s="13" t="str">
        <f aca="false">TRIM(LEFT(A139,FIND("/",A139)-1))</f>
        <v>Awareness</v>
      </c>
      <c r="S139" s="13" t="str">
        <f aca="false">LEFT(C139,7)</f>
        <v>2026-07</v>
      </c>
    </row>
    <row r="140" customFormat="false" ht="15" hidden="false" customHeight="false" outlineLevel="0" collapsed="false">
      <c r="A140" s="13" t="s">
        <v>66</v>
      </c>
      <c r="B140" s="13" t="s">
        <v>71</v>
      </c>
      <c r="C140" s="13" t="s">
        <v>92</v>
      </c>
      <c r="D140" s="13" t="s">
        <v>69</v>
      </c>
      <c r="E140" s="13" t="s">
        <v>51</v>
      </c>
      <c r="F140" s="14" t="n">
        <v>7564</v>
      </c>
      <c r="G140" s="14" t="n">
        <v>7564</v>
      </c>
      <c r="H140" s="13" t="s">
        <v>52</v>
      </c>
      <c r="I140" s="14" t="n">
        <v>10476</v>
      </c>
      <c r="J140" s="14" t="n">
        <v>2</v>
      </c>
      <c r="K140" s="14"/>
      <c r="L140" s="14"/>
      <c r="M140" s="14"/>
      <c r="N140" s="14"/>
      <c r="O140" s="15"/>
      <c r="P140" s="13" t="s">
        <v>92</v>
      </c>
      <c r="Q140" s="13" t="s">
        <v>92</v>
      </c>
      <c r="R140" s="13" t="str">
        <f aca="false">TRIM(LEFT(A140,FIND("/",A140)-1))</f>
        <v>Awareness</v>
      </c>
      <c r="S140" s="13" t="str">
        <f aca="false">LEFT(C140,7)</f>
        <v>2026-07</v>
      </c>
    </row>
    <row r="141" customFormat="false" ht="15" hidden="false" customHeight="false" outlineLevel="0" collapsed="false">
      <c r="A141" s="13" t="s">
        <v>73</v>
      </c>
      <c r="B141" s="13" t="s">
        <v>74</v>
      </c>
      <c r="C141" s="13" t="s">
        <v>92</v>
      </c>
      <c r="D141" s="13" t="s">
        <v>69</v>
      </c>
      <c r="E141" s="13" t="s">
        <v>51</v>
      </c>
      <c r="F141" s="14" t="n">
        <v>14435</v>
      </c>
      <c r="G141" s="14" t="n">
        <v>16439</v>
      </c>
      <c r="H141" s="13" t="s">
        <v>52</v>
      </c>
      <c r="I141" s="14" t="n">
        <v>175154</v>
      </c>
      <c r="J141" s="14" t="n">
        <v>375</v>
      </c>
      <c r="K141" s="14" t="n">
        <v>4</v>
      </c>
      <c r="L141" s="14" t="n">
        <v>866174</v>
      </c>
      <c r="M141" s="14" t="n">
        <v>25</v>
      </c>
      <c r="N141" s="14" t="n">
        <v>4240036</v>
      </c>
      <c r="O141" s="15" t="n">
        <v>4.94521393</v>
      </c>
      <c r="P141" s="13" t="s">
        <v>92</v>
      </c>
      <c r="Q141" s="13" t="s">
        <v>92</v>
      </c>
      <c r="R141" s="13" t="str">
        <f aca="false">TRIM(LEFT(A141,FIND("/",A141)-1))</f>
        <v>Sales</v>
      </c>
      <c r="S141" s="13" t="str">
        <f aca="false">LEFT(C141,7)</f>
        <v>2026-07</v>
      </c>
    </row>
    <row r="142" customFormat="false" ht="15" hidden="false" customHeight="false" outlineLevel="0" collapsed="false">
      <c r="A142" s="13" t="s">
        <v>93</v>
      </c>
      <c r="B142" s="13" t="s">
        <v>94</v>
      </c>
      <c r="C142" s="13" t="s">
        <v>92</v>
      </c>
      <c r="D142" s="13" t="s">
        <v>50</v>
      </c>
      <c r="E142" s="13" t="s">
        <v>51</v>
      </c>
      <c r="F142" s="14" t="n">
        <v>28</v>
      </c>
      <c r="G142" s="14" t="n">
        <v>31</v>
      </c>
      <c r="H142" s="13" t="s">
        <v>52</v>
      </c>
      <c r="I142" s="14" t="n">
        <v>882</v>
      </c>
      <c r="J142" s="14" t="n">
        <v>2</v>
      </c>
      <c r="K142" s="14"/>
      <c r="L142" s="14"/>
      <c r="M142" s="14"/>
      <c r="N142" s="14"/>
      <c r="O142" s="15"/>
      <c r="P142" s="13" t="s">
        <v>92</v>
      </c>
      <c r="Q142" s="13" t="s">
        <v>92</v>
      </c>
      <c r="R142" s="13" t="str">
        <f aca="false">TRIM(LEFT(A142,FIND("/",A142)-1))</f>
        <v>Sales</v>
      </c>
      <c r="S142" s="13" t="str">
        <f aca="false">LEFT(C142,7)</f>
        <v>2026-07</v>
      </c>
    </row>
    <row r="143" customFormat="false" ht="15" hidden="false" customHeight="false" outlineLevel="0" collapsed="false">
      <c r="A143" s="13" t="s">
        <v>93</v>
      </c>
      <c r="B143" s="13" t="s">
        <v>95</v>
      </c>
      <c r="C143" s="13" t="s">
        <v>92</v>
      </c>
      <c r="D143" s="13" t="s">
        <v>50</v>
      </c>
      <c r="E143" s="13" t="s">
        <v>51</v>
      </c>
      <c r="F143" s="14" t="n">
        <v>96</v>
      </c>
      <c r="G143" s="14" t="n">
        <v>106</v>
      </c>
      <c r="H143" s="13" t="s">
        <v>52</v>
      </c>
      <c r="I143" s="14" t="n">
        <v>2210</v>
      </c>
      <c r="J143" s="14" t="n">
        <v>2</v>
      </c>
      <c r="K143" s="14"/>
      <c r="L143" s="14"/>
      <c r="M143" s="14" t="n">
        <v>1</v>
      </c>
      <c r="N143" s="14" t="n">
        <v>180113</v>
      </c>
      <c r="O143" s="15"/>
      <c r="P143" s="13" t="s">
        <v>92</v>
      </c>
      <c r="Q143" s="13" t="s">
        <v>92</v>
      </c>
      <c r="R143" s="13" t="str">
        <f aca="false">TRIM(LEFT(A143,FIND("/",A143)-1))</f>
        <v>Sales</v>
      </c>
      <c r="S143" s="13" t="str">
        <f aca="false">LEFT(C143,7)</f>
        <v>2026-07</v>
      </c>
    </row>
    <row r="144" customFormat="false" ht="15" hidden="false" customHeight="false" outlineLevel="0" collapsed="false">
      <c r="A144" s="13" t="s">
        <v>93</v>
      </c>
      <c r="B144" s="13" t="s">
        <v>96</v>
      </c>
      <c r="C144" s="13" t="s">
        <v>92</v>
      </c>
      <c r="D144" s="13" t="s">
        <v>97</v>
      </c>
      <c r="E144" s="13" t="s">
        <v>51</v>
      </c>
      <c r="F144" s="14" t="n">
        <v>654</v>
      </c>
      <c r="G144" s="14" t="n">
        <v>701</v>
      </c>
      <c r="H144" s="13" t="s">
        <v>52</v>
      </c>
      <c r="I144" s="14" t="n">
        <v>6590</v>
      </c>
      <c r="J144" s="14" t="n">
        <v>5</v>
      </c>
      <c r="K144" s="14"/>
      <c r="L144" s="14"/>
      <c r="M144" s="14"/>
      <c r="N144" s="14"/>
      <c r="O144" s="15"/>
      <c r="P144" s="13" t="s">
        <v>92</v>
      </c>
      <c r="Q144" s="13" t="s">
        <v>92</v>
      </c>
      <c r="R144" s="13" t="str">
        <f aca="false">TRIM(LEFT(A144,FIND("/",A144)-1))</f>
        <v>Sales</v>
      </c>
      <c r="S144" s="13" t="str">
        <f aca="false">LEFT(C144,7)</f>
        <v>2026-07</v>
      </c>
    </row>
    <row r="145" customFormat="false" ht="15" hidden="false" customHeight="false" outlineLevel="0" collapsed="false">
      <c r="A145" s="13" t="s">
        <v>75</v>
      </c>
      <c r="B145" s="13" t="s">
        <v>76</v>
      </c>
      <c r="C145" s="13" t="s">
        <v>92</v>
      </c>
      <c r="D145" s="13" t="s">
        <v>69</v>
      </c>
      <c r="E145" s="13" t="s">
        <v>51</v>
      </c>
      <c r="F145" s="14" t="n">
        <v>65447</v>
      </c>
      <c r="G145" s="14" t="n">
        <v>73799</v>
      </c>
      <c r="H145" s="13" t="s">
        <v>52</v>
      </c>
      <c r="I145" s="14" t="n">
        <v>190440</v>
      </c>
      <c r="J145" s="14" t="n">
        <v>1678</v>
      </c>
      <c r="K145" s="14"/>
      <c r="L145" s="14"/>
      <c r="M145" s="14" t="n">
        <v>2</v>
      </c>
      <c r="N145" s="14" t="n">
        <v>311157</v>
      </c>
      <c r="O145" s="15"/>
      <c r="P145" s="13" t="s">
        <v>92</v>
      </c>
      <c r="Q145" s="13" t="s">
        <v>92</v>
      </c>
      <c r="R145" s="13" t="str">
        <f aca="false">TRIM(LEFT(A145,FIND("/",A145)-1))</f>
        <v>Traffic</v>
      </c>
      <c r="S145" s="13" t="str">
        <f aca="false">LEFT(C145,7)</f>
        <v>2026-07</v>
      </c>
    </row>
    <row r="146" customFormat="false" ht="15" hidden="false" customHeight="false" outlineLevel="0" collapsed="false">
      <c r="A146" s="13" t="s">
        <v>75</v>
      </c>
      <c r="B146" s="13" t="s">
        <v>77</v>
      </c>
      <c r="C146" s="13" t="s">
        <v>92</v>
      </c>
      <c r="D146" s="13" t="s">
        <v>69</v>
      </c>
      <c r="E146" s="13" t="s">
        <v>51</v>
      </c>
      <c r="F146" s="14" t="n">
        <v>1073</v>
      </c>
      <c r="G146" s="14" t="n">
        <v>1174</v>
      </c>
      <c r="H146" s="13" t="s">
        <v>52</v>
      </c>
      <c r="I146" s="14" t="n">
        <v>5907</v>
      </c>
      <c r="J146" s="14" t="n">
        <v>49</v>
      </c>
      <c r="K146" s="14"/>
      <c r="L146" s="14"/>
      <c r="M146" s="14" t="n">
        <v>1</v>
      </c>
      <c r="N146" s="14" t="n">
        <v>178171</v>
      </c>
      <c r="O146" s="15"/>
      <c r="P146" s="13" t="s">
        <v>92</v>
      </c>
      <c r="Q146" s="13" t="s">
        <v>92</v>
      </c>
      <c r="R146" s="13" t="str">
        <f aca="false">TRIM(LEFT(A146,FIND("/",A146)-1))</f>
        <v>Traffic</v>
      </c>
      <c r="S146" s="13" t="str">
        <f aca="false">LEFT(C146,7)</f>
        <v>2026-07</v>
      </c>
    </row>
    <row r="147" customFormat="false" ht="15" hidden="false" customHeight="false" outlineLevel="0" collapsed="false">
      <c r="A147" s="13" t="s">
        <v>75</v>
      </c>
      <c r="B147" s="13" t="s">
        <v>79</v>
      </c>
      <c r="C147" s="13" t="s">
        <v>92</v>
      </c>
      <c r="D147" s="13" t="s">
        <v>69</v>
      </c>
      <c r="E147" s="13" t="s">
        <v>51</v>
      </c>
      <c r="F147" s="14" t="n">
        <v>24022</v>
      </c>
      <c r="G147" s="14" t="n">
        <v>28063</v>
      </c>
      <c r="H147" s="13" t="s">
        <v>52</v>
      </c>
      <c r="I147" s="14" t="n">
        <v>108039</v>
      </c>
      <c r="J147" s="14" t="n">
        <v>1009</v>
      </c>
      <c r="K147" s="14"/>
      <c r="L147" s="14"/>
      <c r="M147" s="14" t="n">
        <v>1</v>
      </c>
      <c r="N147" s="14" t="n">
        <v>180113</v>
      </c>
      <c r="O147" s="15"/>
      <c r="P147" s="13" t="s">
        <v>92</v>
      </c>
      <c r="Q147" s="13" t="s">
        <v>92</v>
      </c>
      <c r="R147" s="13" t="str">
        <f aca="false">TRIM(LEFT(A147,FIND("/",A147)-1))</f>
        <v>Traffic</v>
      </c>
      <c r="S147" s="13" t="str">
        <f aca="false">LEFT(C147,7)</f>
        <v>2026-07</v>
      </c>
    </row>
    <row r="148" customFormat="false" ht="15" hidden="false" customHeight="false" outlineLevel="0" collapsed="false">
      <c r="A148" s="13" t="s">
        <v>66</v>
      </c>
      <c r="B148" s="13" t="s">
        <v>67</v>
      </c>
      <c r="C148" s="13" t="s">
        <v>98</v>
      </c>
      <c r="D148" s="13" t="s">
        <v>69</v>
      </c>
      <c r="E148" s="13" t="s">
        <v>51</v>
      </c>
      <c r="F148" s="14" t="n">
        <v>103686</v>
      </c>
      <c r="G148" s="14" t="n">
        <v>103686</v>
      </c>
      <c r="H148" s="13" t="s">
        <v>52</v>
      </c>
      <c r="I148" s="14" t="n">
        <v>129377</v>
      </c>
      <c r="J148" s="14" t="n">
        <v>10</v>
      </c>
      <c r="K148" s="14"/>
      <c r="L148" s="14"/>
      <c r="M148" s="14"/>
      <c r="N148" s="14"/>
      <c r="O148" s="15"/>
      <c r="P148" s="13" t="s">
        <v>98</v>
      </c>
      <c r="Q148" s="13" t="s">
        <v>98</v>
      </c>
      <c r="R148" s="13" t="str">
        <f aca="false">TRIM(LEFT(A148,FIND("/",A148)-1))</f>
        <v>Awareness</v>
      </c>
      <c r="S148" s="13" t="str">
        <f aca="false">LEFT(C148,7)</f>
        <v>2026-08</v>
      </c>
    </row>
    <row r="149" customFormat="false" ht="15" hidden="false" customHeight="false" outlineLevel="0" collapsed="false">
      <c r="A149" s="13" t="s">
        <v>66</v>
      </c>
      <c r="B149" s="13" t="s">
        <v>70</v>
      </c>
      <c r="C149" s="13" t="s">
        <v>98</v>
      </c>
      <c r="D149" s="13" t="s">
        <v>69</v>
      </c>
      <c r="E149" s="13" t="s">
        <v>51</v>
      </c>
      <c r="F149" s="14" t="n">
        <v>6423</v>
      </c>
      <c r="G149" s="14" t="n">
        <v>6463</v>
      </c>
      <c r="H149" s="13" t="s">
        <v>52</v>
      </c>
      <c r="I149" s="14" t="n">
        <v>7896</v>
      </c>
      <c r="J149" s="14"/>
      <c r="K149" s="14"/>
      <c r="L149" s="14"/>
      <c r="M149" s="14"/>
      <c r="N149" s="14"/>
      <c r="O149" s="15"/>
      <c r="P149" s="13" t="s">
        <v>98</v>
      </c>
      <c r="Q149" s="13" t="s">
        <v>98</v>
      </c>
      <c r="R149" s="13" t="str">
        <f aca="false">TRIM(LEFT(A149,FIND("/",A149)-1))</f>
        <v>Awareness</v>
      </c>
      <c r="S149" s="13" t="str">
        <f aca="false">LEFT(C149,7)</f>
        <v>2026-08</v>
      </c>
    </row>
    <row r="150" customFormat="false" ht="15" hidden="false" customHeight="false" outlineLevel="0" collapsed="false">
      <c r="A150" s="13" t="s">
        <v>66</v>
      </c>
      <c r="B150" s="13" t="s">
        <v>71</v>
      </c>
      <c r="C150" s="13" t="s">
        <v>98</v>
      </c>
      <c r="D150" s="13" t="s">
        <v>69</v>
      </c>
      <c r="E150" s="13" t="s">
        <v>51</v>
      </c>
      <c r="F150" s="14" t="n">
        <v>3816</v>
      </c>
      <c r="G150" s="14" t="n">
        <v>3816</v>
      </c>
      <c r="H150" s="13" t="s">
        <v>52</v>
      </c>
      <c r="I150" s="14" t="n">
        <v>4718</v>
      </c>
      <c r="J150" s="14" t="n">
        <v>1</v>
      </c>
      <c r="K150" s="14"/>
      <c r="L150" s="14"/>
      <c r="M150" s="14"/>
      <c r="N150" s="14"/>
      <c r="O150" s="15"/>
      <c r="P150" s="13" t="s">
        <v>98</v>
      </c>
      <c r="Q150" s="13" t="s">
        <v>98</v>
      </c>
      <c r="R150" s="13" t="str">
        <f aca="false">TRIM(LEFT(A150,FIND("/",A150)-1))</f>
        <v>Awareness</v>
      </c>
      <c r="S150" s="13" t="str">
        <f aca="false">LEFT(C150,7)</f>
        <v>2026-08</v>
      </c>
    </row>
    <row r="151" customFormat="false" ht="15" hidden="false" customHeight="false" outlineLevel="0" collapsed="false">
      <c r="A151" s="13" t="s">
        <v>73</v>
      </c>
      <c r="B151" s="13" t="s">
        <v>74</v>
      </c>
      <c r="C151" s="13" t="s">
        <v>98</v>
      </c>
      <c r="D151" s="13" t="s">
        <v>69</v>
      </c>
      <c r="E151" s="13" t="s">
        <v>51</v>
      </c>
      <c r="F151" s="14" t="n">
        <v>14078</v>
      </c>
      <c r="G151" s="14" t="n">
        <v>16006</v>
      </c>
      <c r="H151" s="13" t="s">
        <v>52</v>
      </c>
      <c r="I151" s="14" t="n">
        <v>157602</v>
      </c>
      <c r="J151" s="14" t="n">
        <v>323</v>
      </c>
      <c r="K151" s="14" t="n">
        <v>1</v>
      </c>
      <c r="L151" s="14" t="n">
        <v>180113</v>
      </c>
      <c r="M151" s="14" t="n">
        <v>24</v>
      </c>
      <c r="N151" s="14" t="n">
        <v>4115047</v>
      </c>
      <c r="O151" s="15" t="n">
        <v>1.14283448</v>
      </c>
      <c r="P151" s="13" t="s">
        <v>98</v>
      </c>
      <c r="Q151" s="13" t="s">
        <v>98</v>
      </c>
      <c r="R151" s="13" t="str">
        <f aca="false">TRIM(LEFT(A151,FIND("/",A151)-1))</f>
        <v>Sales</v>
      </c>
      <c r="S151" s="13" t="str">
        <f aca="false">LEFT(C151,7)</f>
        <v>2026-08</v>
      </c>
    </row>
    <row r="152" customFormat="false" ht="15" hidden="false" customHeight="false" outlineLevel="0" collapsed="false">
      <c r="A152" s="13" t="s">
        <v>93</v>
      </c>
      <c r="B152" s="13" t="s">
        <v>94</v>
      </c>
      <c r="C152" s="13" t="s">
        <v>98</v>
      </c>
      <c r="D152" s="13" t="s">
        <v>50</v>
      </c>
      <c r="E152" s="13" t="s">
        <v>51</v>
      </c>
      <c r="F152" s="14" t="n">
        <v>197</v>
      </c>
      <c r="G152" s="14" t="n">
        <v>466</v>
      </c>
      <c r="H152" s="13" t="s">
        <v>52</v>
      </c>
      <c r="I152" s="14" t="n">
        <v>19663</v>
      </c>
      <c r="J152" s="14" t="n">
        <v>11</v>
      </c>
      <c r="K152" s="14"/>
      <c r="L152" s="14"/>
      <c r="M152" s="14" t="n">
        <v>4</v>
      </c>
      <c r="N152" s="14" t="n">
        <v>584526</v>
      </c>
      <c r="O152" s="15"/>
      <c r="P152" s="13" t="s">
        <v>98</v>
      </c>
      <c r="Q152" s="13" t="s">
        <v>98</v>
      </c>
      <c r="R152" s="13" t="str">
        <f aca="false">TRIM(LEFT(A152,FIND("/",A152)-1))</f>
        <v>Sales</v>
      </c>
      <c r="S152" s="13" t="str">
        <f aca="false">LEFT(C152,7)</f>
        <v>2026-08</v>
      </c>
    </row>
    <row r="153" customFormat="false" ht="15" hidden="false" customHeight="false" outlineLevel="0" collapsed="false">
      <c r="A153" s="13" t="s">
        <v>93</v>
      </c>
      <c r="B153" s="13" t="s">
        <v>95</v>
      </c>
      <c r="C153" s="13" t="s">
        <v>98</v>
      </c>
      <c r="D153" s="13" t="s">
        <v>50</v>
      </c>
      <c r="E153" s="13" t="s">
        <v>51</v>
      </c>
      <c r="F153" s="14" t="n">
        <v>904</v>
      </c>
      <c r="G153" s="14" t="n">
        <v>1536</v>
      </c>
      <c r="H153" s="13" t="s">
        <v>52</v>
      </c>
      <c r="I153" s="14" t="n">
        <v>33566</v>
      </c>
      <c r="J153" s="14" t="n">
        <v>32</v>
      </c>
      <c r="K153" s="14"/>
      <c r="L153" s="14"/>
      <c r="M153" s="14" t="n">
        <v>1</v>
      </c>
      <c r="N153" s="14" t="n">
        <v>132986</v>
      </c>
      <c r="O153" s="15"/>
      <c r="P153" s="13" t="s">
        <v>98</v>
      </c>
      <c r="Q153" s="13" t="s">
        <v>98</v>
      </c>
      <c r="R153" s="13" t="str">
        <f aca="false">TRIM(LEFT(A153,FIND("/",A153)-1))</f>
        <v>Sales</v>
      </c>
      <c r="S153" s="13" t="str">
        <f aca="false">LEFT(C153,7)</f>
        <v>2026-08</v>
      </c>
    </row>
    <row r="154" customFormat="false" ht="15" hidden="false" customHeight="false" outlineLevel="0" collapsed="false">
      <c r="A154" s="13" t="s">
        <v>93</v>
      </c>
      <c r="B154" s="13" t="s">
        <v>96</v>
      </c>
      <c r="C154" s="13" t="s">
        <v>98</v>
      </c>
      <c r="D154" s="13" t="s">
        <v>97</v>
      </c>
      <c r="E154" s="13" t="s">
        <v>51</v>
      </c>
      <c r="F154" s="14" t="n">
        <v>12702</v>
      </c>
      <c r="G154" s="14" t="n">
        <v>16739</v>
      </c>
      <c r="H154" s="13" t="s">
        <v>52</v>
      </c>
      <c r="I154" s="14" t="n">
        <v>167641</v>
      </c>
      <c r="J154" s="14" t="n">
        <v>168</v>
      </c>
      <c r="K154" s="14" t="n">
        <v>1</v>
      </c>
      <c r="L154" s="14" t="n">
        <v>229355</v>
      </c>
      <c r="M154" s="14" t="n">
        <v>10</v>
      </c>
      <c r="N154" s="14" t="n">
        <v>1503368</v>
      </c>
      <c r="O154" s="15" t="n">
        <v>1.3681319</v>
      </c>
      <c r="P154" s="13" t="s">
        <v>98</v>
      </c>
      <c r="Q154" s="13" t="s">
        <v>98</v>
      </c>
      <c r="R154" s="13" t="str">
        <f aca="false">TRIM(LEFT(A154,FIND("/",A154)-1))</f>
        <v>Sales</v>
      </c>
      <c r="S154" s="13" t="str">
        <f aca="false">LEFT(C154,7)</f>
        <v>2026-08</v>
      </c>
    </row>
    <row r="155" customFormat="false" ht="15" hidden="false" customHeight="false" outlineLevel="0" collapsed="false">
      <c r="A155" s="13" t="s">
        <v>75</v>
      </c>
      <c r="B155" s="13" t="s">
        <v>76</v>
      </c>
      <c r="C155" s="13" t="s">
        <v>98</v>
      </c>
      <c r="D155" s="13" t="s">
        <v>69</v>
      </c>
      <c r="E155" s="13" t="s">
        <v>51</v>
      </c>
      <c r="F155" s="14" t="n">
        <v>65915</v>
      </c>
      <c r="G155" s="14" t="n">
        <v>74689</v>
      </c>
      <c r="H155" s="13" t="s">
        <v>52</v>
      </c>
      <c r="I155" s="14" t="n">
        <v>184121</v>
      </c>
      <c r="J155" s="14" t="n">
        <v>1820</v>
      </c>
      <c r="K155" s="14"/>
      <c r="L155" s="14"/>
      <c r="M155" s="14" t="n">
        <v>8</v>
      </c>
      <c r="N155" s="14" t="n">
        <v>1452905</v>
      </c>
      <c r="O155" s="15"/>
      <c r="P155" s="13" t="s">
        <v>98</v>
      </c>
      <c r="Q155" s="13" t="s">
        <v>98</v>
      </c>
      <c r="R155" s="13" t="str">
        <f aca="false">TRIM(LEFT(A155,FIND("/",A155)-1))</f>
        <v>Traffic</v>
      </c>
      <c r="S155" s="13" t="str">
        <f aca="false">LEFT(C155,7)</f>
        <v>2026-08</v>
      </c>
    </row>
    <row r="156" customFormat="false" ht="15" hidden="false" customHeight="false" outlineLevel="0" collapsed="false">
      <c r="A156" s="13" t="s">
        <v>75</v>
      </c>
      <c r="B156" s="13" t="s">
        <v>77</v>
      </c>
      <c r="C156" s="13" t="s">
        <v>98</v>
      </c>
      <c r="D156" s="13" t="s">
        <v>69</v>
      </c>
      <c r="E156" s="13" t="s">
        <v>51</v>
      </c>
      <c r="F156" s="14" t="n">
        <v>1947</v>
      </c>
      <c r="G156" s="14" t="n">
        <v>2121</v>
      </c>
      <c r="H156" s="13" t="s">
        <v>52</v>
      </c>
      <c r="I156" s="14" t="n">
        <v>9653</v>
      </c>
      <c r="J156" s="14" t="n">
        <v>73</v>
      </c>
      <c r="K156" s="14"/>
      <c r="L156" s="14"/>
      <c r="M156" s="14"/>
      <c r="N156" s="14"/>
      <c r="O156" s="15"/>
      <c r="P156" s="13" t="s">
        <v>98</v>
      </c>
      <c r="Q156" s="13" t="s">
        <v>98</v>
      </c>
      <c r="R156" s="13" t="str">
        <f aca="false">TRIM(LEFT(A156,FIND("/",A156)-1))</f>
        <v>Traffic</v>
      </c>
      <c r="S156" s="13" t="str">
        <f aca="false">LEFT(C156,7)</f>
        <v>2026-08</v>
      </c>
    </row>
    <row r="157" customFormat="false" ht="15" hidden="false" customHeight="false" outlineLevel="0" collapsed="false">
      <c r="A157" s="13" t="s">
        <v>75</v>
      </c>
      <c r="B157" s="13" t="s">
        <v>79</v>
      </c>
      <c r="C157" s="13" t="s">
        <v>98</v>
      </c>
      <c r="D157" s="13" t="s">
        <v>69</v>
      </c>
      <c r="E157" s="13" t="s">
        <v>51</v>
      </c>
      <c r="F157" s="14" t="n">
        <v>16049</v>
      </c>
      <c r="G157" s="14" t="n">
        <v>18732</v>
      </c>
      <c r="H157" s="13" t="s">
        <v>52</v>
      </c>
      <c r="I157" s="14" t="n">
        <v>61838</v>
      </c>
      <c r="J157" s="14" t="n">
        <v>642</v>
      </c>
      <c r="K157" s="14"/>
      <c r="L157" s="14"/>
      <c r="M157" s="14"/>
      <c r="N157" s="14"/>
      <c r="O157" s="15"/>
      <c r="P157" s="13" t="s">
        <v>98</v>
      </c>
      <c r="Q157" s="13" t="s">
        <v>98</v>
      </c>
      <c r="R157" s="13" t="str">
        <f aca="false">TRIM(LEFT(A157,FIND("/",A157)-1))</f>
        <v>Traffic</v>
      </c>
      <c r="S157" s="13" t="str">
        <f aca="false">LEFT(C157,7)</f>
        <v>2026-08</v>
      </c>
    </row>
    <row r="158" customFormat="false" ht="15" hidden="false" customHeight="false" outlineLevel="0" collapsed="false">
      <c r="A158" s="13" t="s">
        <v>66</v>
      </c>
      <c r="B158" s="13" t="s">
        <v>67</v>
      </c>
      <c r="C158" s="13" t="s">
        <v>99</v>
      </c>
      <c r="D158" s="13" t="s">
        <v>69</v>
      </c>
      <c r="E158" s="13" t="s">
        <v>51</v>
      </c>
      <c r="F158" s="14" t="n">
        <v>134084</v>
      </c>
      <c r="G158" s="14" t="n">
        <v>134084</v>
      </c>
      <c r="H158" s="13" t="s">
        <v>52</v>
      </c>
      <c r="I158" s="14" t="n">
        <v>160089</v>
      </c>
      <c r="J158" s="14" t="n">
        <v>21</v>
      </c>
      <c r="K158" s="14"/>
      <c r="L158" s="14"/>
      <c r="M158" s="14"/>
      <c r="N158" s="14"/>
      <c r="O158" s="15"/>
      <c r="P158" s="13" t="s">
        <v>99</v>
      </c>
      <c r="Q158" s="13" t="s">
        <v>99</v>
      </c>
      <c r="R158" s="13" t="str">
        <f aca="false">TRIM(LEFT(A158,FIND("/",A158)-1))</f>
        <v>Awareness</v>
      </c>
      <c r="S158" s="13" t="str">
        <f aca="false">LEFT(C158,7)</f>
        <v>2026-08</v>
      </c>
    </row>
    <row r="159" customFormat="false" ht="15" hidden="false" customHeight="false" outlineLevel="0" collapsed="false">
      <c r="A159" s="13" t="s">
        <v>66</v>
      </c>
      <c r="B159" s="13" t="s">
        <v>70</v>
      </c>
      <c r="C159" s="13" t="s">
        <v>99</v>
      </c>
      <c r="D159" s="13" t="s">
        <v>69</v>
      </c>
      <c r="E159" s="13" t="s">
        <v>51</v>
      </c>
      <c r="F159" s="14" t="n">
        <v>3965</v>
      </c>
      <c r="G159" s="14" t="n">
        <v>4064</v>
      </c>
      <c r="H159" s="13" t="s">
        <v>52</v>
      </c>
      <c r="I159" s="14" t="n">
        <v>4802</v>
      </c>
      <c r="J159" s="14" t="n">
        <v>1</v>
      </c>
      <c r="K159" s="14"/>
      <c r="L159" s="14"/>
      <c r="M159" s="14"/>
      <c r="N159" s="14"/>
      <c r="O159" s="15"/>
      <c r="P159" s="13" t="s">
        <v>99</v>
      </c>
      <c r="Q159" s="13" t="s">
        <v>99</v>
      </c>
      <c r="R159" s="13" t="str">
        <f aca="false">TRIM(LEFT(A159,FIND("/",A159)-1))</f>
        <v>Awareness</v>
      </c>
      <c r="S159" s="13" t="str">
        <f aca="false">LEFT(C159,7)</f>
        <v>2026-08</v>
      </c>
    </row>
    <row r="160" customFormat="false" ht="15" hidden="false" customHeight="false" outlineLevel="0" collapsed="false">
      <c r="A160" s="13" t="s">
        <v>66</v>
      </c>
      <c r="B160" s="13" t="s">
        <v>71</v>
      </c>
      <c r="C160" s="13" t="s">
        <v>99</v>
      </c>
      <c r="D160" s="13" t="s">
        <v>69</v>
      </c>
      <c r="E160" s="13" t="s">
        <v>51</v>
      </c>
      <c r="F160" s="14" t="n">
        <v>2865</v>
      </c>
      <c r="G160" s="14" t="n">
        <v>2865</v>
      </c>
      <c r="H160" s="13" t="s">
        <v>52</v>
      </c>
      <c r="I160" s="14" t="n">
        <v>3383</v>
      </c>
      <c r="J160" s="14"/>
      <c r="K160" s="14"/>
      <c r="L160" s="14"/>
      <c r="M160" s="14"/>
      <c r="N160" s="14"/>
      <c r="O160" s="15"/>
      <c r="P160" s="13" t="s">
        <v>99</v>
      </c>
      <c r="Q160" s="13" t="s">
        <v>99</v>
      </c>
      <c r="R160" s="13" t="str">
        <f aca="false">TRIM(LEFT(A160,FIND("/",A160)-1))</f>
        <v>Awareness</v>
      </c>
      <c r="S160" s="13" t="str">
        <f aca="false">LEFT(C160,7)</f>
        <v>2026-08</v>
      </c>
    </row>
    <row r="161" customFormat="false" ht="15" hidden="false" customHeight="false" outlineLevel="0" collapsed="false">
      <c r="A161" s="13" t="s">
        <v>73</v>
      </c>
      <c r="B161" s="13" t="s">
        <v>74</v>
      </c>
      <c r="C161" s="13" t="s">
        <v>99</v>
      </c>
      <c r="D161" s="13" t="s">
        <v>69</v>
      </c>
      <c r="E161" s="13" t="s">
        <v>51</v>
      </c>
      <c r="F161" s="14" t="n">
        <v>15994</v>
      </c>
      <c r="G161" s="14" t="n">
        <v>18015</v>
      </c>
      <c r="H161" s="13" t="s">
        <v>52</v>
      </c>
      <c r="I161" s="14" t="n">
        <v>217987</v>
      </c>
      <c r="J161" s="14" t="n">
        <v>339</v>
      </c>
      <c r="K161" s="14" t="n">
        <v>2</v>
      </c>
      <c r="L161" s="14" t="n">
        <v>418925</v>
      </c>
      <c r="M161" s="14" t="n">
        <v>29</v>
      </c>
      <c r="N161" s="14" t="n">
        <v>5160504</v>
      </c>
      <c r="O161" s="15" t="n">
        <v>1.92178891</v>
      </c>
      <c r="P161" s="13" t="s">
        <v>99</v>
      </c>
      <c r="Q161" s="13" t="s">
        <v>99</v>
      </c>
      <c r="R161" s="13" t="str">
        <f aca="false">TRIM(LEFT(A161,FIND("/",A161)-1))</f>
        <v>Sales</v>
      </c>
      <c r="S161" s="13" t="str">
        <f aca="false">LEFT(C161,7)</f>
        <v>2026-08</v>
      </c>
    </row>
    <row r="162" customFormat="false" ht="15" hidden="false" customHeight="false" outlineLevel="0" collapsed="false">
      <c r="A162" s="13" t="s">
        <v>93</v>
      </c>
      <c r="B162" s="13" t="s">
        <v>94</v>
      </c>
      <c r="C162" s="13" t="s">
        <v>99</v>
      </c>
      <c r="D162" s="13" t="s">
        <v>50</v>
      </c>
      <c r="E162" s="13" t="s">
        <v>51</v>
      </c>
      <c r="F162" s="14" t="n">
        <v>159</v>
      </c>
      <c r="G162" s="14" t="n">
        <v>304</v>
      </c>
      <c r="H162" s="13" t="s">
        <v>52</v>
      </c>
      <c r="I162" s="14" t="n">
        <v>9324</v>
      </c>
      <c r="J162" s="14" t="n">
        <v>3</v>
      </c>
      <c r="K162" s="14"/>
      <c r="L162" s="14"/>
      <c r="M162" s="14"/>
      <c r="N162" s="14"/>
      <c r="O162" s="15"/>
      <c r="P162" s="13" t="s">
        <v>99</v>
      </c>
      <c r="Q162" s="13" t="s">
        <v>99</v>
      </c>
      <c r="R162" s="13" t="str">
        <f aca="false">TRIM(LEFT(A162,FIND("/",A162)-1))</f>
        <v>Sales</v>
      </c>
      <c r="S162" s="13" t="str">
        <f aca="false">LEFT(C162,7)</f>
        <v>2026-08</v>
      </c>
    </row>
    <row r="163" customFormat="false" ht="15" hidden="false" customHeight="false" outlineLevel="0" collapsed="false">
      <c r="A163" s="13" t="s">
        <v>93</v>
      </c>
      <c r="B163" s="13" t="s">
        <v>95</v>
      </c>
      <c r="C163" s="13" t="s">
        <v>99</v>
      </c>
      <c r="D163" s="13" t="s">
        <v>50</v>
      </c>
      <c r="E163" s="13" t="s">
        <v>51</v>
      </c>
      <c r="F163" s="14" t="n">
        <v>850</v>
      </c>
      <c r="G163" s="14" t="n">
        <v>1233</v>
      </c>
      <c r="H163" s="13" t="s">
        <v>52</v>
      </c>
      <c r="I163" s="14" t="n">
        <v>21546</v>
      </c>
      <c r="J163" s="14" t="n">
        <v>18</v>
      </c>
      <c r="K163" s="14"/>
      <c r="L163" s="14"/>
      <c r="M163" s="14" t="n">
        <v>1</v>
      </c>
      <c r="N163" s="14" t="n">
        <v>138818</v>
      </c>
      <c r="O163" s="15"/>
      <c r="P163" s="13" t="s">
        <v>99</v>
      </c>
      <c r="Q163" s="13" t="s">
        <v>99</v>
      </c>
      <c r="R163" s="13" t="str">
        <f aca="false">TRIM(LEFT(A163,FIND("/",A163)-1))</f>
        <v>Sales</v>
      </c>
      <c r="S163" s="13" t="str">
        <f aca="false">LEFT(C163,7)</f>
        <v>2026-08</v>
      </c>
    </row>
    <row r="164" customFormat="false" ht="15" hidden="false" customHeight="false" outlineLevel="0" collapsed="false">
      <c r="A164" s="13" t="s">
        <v>93</v>
      </c>
      <c r="B164" s="13" t="s">
        <v>96</v>
      </c>
      <c r="C164" s="13" t="s">
        <v>99</v>
      </c>
      <c r="D164" s="13" t="s">
        <v>97</v>
      </c>
      <c r="E164" s="13" t="s">
        <v>51</v>
      </c>
      <c r="F164" s="14" t="n">
        <v>13109</v>
      </c>
      <c r="G164" s="14" t="n">
        <v>16474</v>
      </c>
      <c r="H164" s="13" t="s">
        <v>52</v>
      </c>
      <c r="I164" s="14" t="n">
        <v>135130</v>
      </c>
      <c r="J164" s="14" t="n">
        <v>157</v>
      </c>
      <c r="K164" s="14" t="n">
        <v>1</v>
      </c>
      <c r="L164" s="14" t="n">
        <v>172868</v>
      </c>
      <c r="M164" s="14" t="n">
        <v>14</v>
      </c>
      <c r="N164" s="14" t="n">
        <v>2262176</v>
      </c>
      <c r="O164" s="15" t="n">
        <v>1.27927181</v>
      </c>
      <c r="P164" s="13" t="s">
        <v>99</v>
      </c>
      <c r="Q164" s="13" t="s">
        <v>99</v>
      </c>
      <c r="R164" s="13" t="str">
        <f aca="false">TRIM(LEFT(A164,FIND("/",A164)-1))</f>
        <v>Sales</v>
      </c>
      <c r="S164" s="13" t="str">
        <f aca="false">LEFT(C164,7)</f>
        <v>2026-08</v>
      </c>
    </row>
    <row r="165" customFormat="false" ht="15" hidden="false" customHeight="false" outlineLevel="0" collapsed="false">
      <c r="A165" s="13" t="s">
        <v>75</v>
      </c>
      <c r="B165" s="13" t="s">
        <v>76</v>
      </c>
      <c r="C165" s="13" t="s">
        <v>99</v>
      </c>
      <c r="D165" s="13" t="s">
        <v>69</v>
      </c>
      <c r="E165" s="13" t="s">
        <v>51</v>
      </c>
      <c r="F165" s="14" t="n">
        <v>63670</v>
      </c>
      <c r="G165" s="14" t="n">
        <v>68404</v>
      </c>
      <c r="H165" s="13" t="s">
        <v>52</v>
      </c>
      <c r="I165" s="14" t="n">
        <v>130083</v>
      </c>
      <c r="J165" s="14" t="n">
        <v>1350</v>
      </c>
      <c r="K165" s="14"/>
      <c r="L165" s="14"/>
      <c r="M165" s="14" t="n">
        <v>6</v>
      </c>
      <c r="N165" s="14" t="n">
        <v>1017740</v>
      </c>
      <c r="O165" s="15"/>
      <c r="P165" s="13" t="s">
        <v>99</v>
      </c>
      <c r="Q165" s="13" t="s">
        <v>99</v>
      </c>
      <c r="R165" s="13" t="str">
        <f aca="false">TRIM(LEFT(A165,FIND("/",A165)-1))</f>
        <v>Traffic</v>
      </c>
      <c r="S165" s="13" t="str">
        <f aca="false">LEFT(C165,7)</f>
        <v>2026-08</v>
      </c>
    </row>
    <row r="166" customFormat="false" ht="15" hidden="false" customHeight="false" outlineLevel="0" collapsed="false">
      <c r="A166" s="13" t="s">
        <v>75</v>
      </c>
      <c r="B166" s="13" t="s">
        <v>77</v>
      </c>
      <c r="C166" s="13" t="s">
        <v>99</v>
      </c>
      <c r="D166" s="13" t="s">
        <v>69</v>
      </c>
      <c r="E166" s="13" t="s">
        <v>51</v>
      </c>
      <c r="F166" s="14" t="n">
        <v>5473</v>
      </c>
      <c r="G166" s="14" t="n">
        <v>6714</v>
      </c>
      <c r="H166" s="13" t="s">
        <v>52</v>
      </c>
      <c r="I166" s="14" t="n">
        <v>31231</v>
      </c>
      <c r="J166" s="14" t="n">
        <v>256</v>
      </c>
      <c r="K166" s="14"/>
      <c r="L166" s="14"/>
      <c r="M166" s="14"/>
      <c r="N166" s="14"/>
      <c r="O166" s="15"/>
      <c r="P166" s="13" t="s">
        <v>99</v>
      </c>
      <c r="Q166" s="13" t="s">
        <v>99</v>
      </c>
      <c r="R166" s="13" t="str">
        <f aca="false">TRIM(LEFT(A166,FIND("/",A166)-1))</f>
        <v>Traffic</v>
      </c>
      <c r="S166" s="13" t="str">
        <f aca="false">LEFT(C166,7)</f>
        <v>2026-08</v>
      </c>
    </row>
    <row r="167" customFormat="false" ht="15" hidden="false" customHeight="false" outlineLevel="0" collapsed="false">
      <c r="A167" s="13" t="s">
        <v>75</v>
      </c>
      <c r="B167" s="13" t="s">
        <v>79</v>
      </c>
      <c r="C167" s="13" t="s">
        <v>99</v>
      </c>
      <c r="D167" s="13" t="s">
        <v>69</v>
      </c>
      <c r="E167" s="13" t="s">
        <v>51</v>
      </c>
      <c r="F167" s="14" t="n">
        <v>52701</v>
      </c>
      <c r="G167" s="14" t="n">
        <v>65052</v>
      </c>
      <c r="H167" s="13" t="s">
        <v>52</v>
      </c>
      <c r="I167" s="14" t="n">
        <v>163791</v>
      </c>
      <c r="J167" s="14" t="n">
        <v>1715</v>
      </c>
      <c r="K167" s="14"/>
      <c r="L167" s="14"/>
      <c r="M167" s="14" t="n">
        <v>6</v>
      </c>
      <c r="N167" s="14" t="n">
        <v>1087512</v>
      </c>
      <c r="O167" s="15"/>
      <c r="P167" s="13" t="s">
        <v>99</v>
      </c>
      <c r="Q167" s="13" t="s">
        <v>99</v>
      </c>
      <c r="R167" s="13" t="str">
        <f aca="false">TRIM(LEFT(A167,FIND("/",A167)-1))</f>
        <v>Traffic</v>
      </c>
      <c r="S167" s="13" t="str">
        <f aca="false">LEFT(C167,7)</f>
        <v>2026-08</v>
      </c>
    </row>
    <row r="168" customFormat="false" ht="15" hidden="false" customHeight="false" outlineLevel="0" collapsed="false">
      <c r="A168" s="13" t="s">
        <v>66</v>
      </c>
      <c r="B168" s="13" t="s">
        <v>67</v>
      </c>
      <c r="C168" s="13" t="s">
        <v>100</v>
      </c>
      <c r="D168" s="13" t="s">
        <v>69</v>
      </c>
      <c r="E168" s="13" t="s">
        <v>51</v>
      </c>
      <c r="F168" s="14" t="n">
        <v>109307</v>
      </c>
      <c r="G168" s="14" t="n">
        <v>110517</v>
      </c>
      <c r="H168" s="13" t="s">
        <v>52</v>
      </c>
      <c r="I168" s="14" t="n">
        <v>128476</v>
      </c>
      <c r="J168" s="14" t="n">
        <v>13</v>
      </c>
      <c r="K168" s="14"/>
      <c r="L168" s="14"/>
      <c r="M168" s="14"/>
      <c r="N168" s="14"/>
      <c r="O168" s="15"/>
      <c r="P168" s="13" t="s">
        <v>100</v>
      </c>
      <c r="Q168" s="13" t="s">
        <v>100</v>
      </c>
      <c r="R168" s="13" t="str">
        <f aca="false">TRIM(LEFT(A168,FIND("/",A168)-1))</f>
        <v>Awareness</v>
      </c>
      <c r="S168" s="13" t="str">
        <f aca="false">LEFT(C168,7)</f>
        <v>2026-08</v>
      </c>
    </row>
    <row r="169" customFormat="false" ht="15" hidden="false" customHeight="false" outlineLevel="0" collapsed="false">
      <c r="A169" s="13" t="s">
        <v>66</v>
      </c>
      <c r="B169" s="13" t="s">
        <v>70</v>
      </c>
      <c r="C169" s="13" t="s">
        <v>100</v>
      </c>
      <c r="D169" s="13" t="s">
        <v>69</v>
      </c>
      <c r="E169" s="13" t="s">
        <v>51</v>
      </c>
      <c r="F169" s="14" t="n">
        <v>8557</v>
      </c>
      <c r="G169" s="14" t="n">
        <v>8588</v>
      </c>
      <c r="H169" s="13" t="s">
        <v>52</v>
      </c>
      <c r="I169" s="14" t="n">
        <v>9844</v>
      </c>
      <c r="J169" s="14" t="n">
        <v>2</v>
      </c>
      <c r="K169" s="14"/>
      <c r="L169" s="14"/>
      <c r="M169" s="14"/>
      <c r="N169" s="14"/>
      <c r="O169" s="15"/>
      <c r="P169" s="13" t="s">
        <v>100</v>
      </c>
      <c r="Q169" s="13" t="s">
        <v>100</v>
      </c>
      <c r="R169" s="13" t="str">
        <f aca="false">TRIM(LEFT(A169,FIND("/",A169)-1))</f>
        <v>Awareness</v>
      </c>
      <c r="S169" s="13" t="str">
        <f aca="false">LEFT(C169,7)</f>
        <v>2026-08</v>
      </c>
    </row>
    <row r="170" customFormat="false" ht="15" hidden="false" customHeight="false" outlineLevel="0" collapsed="false">
      <c r="A170" s="13" t="s">
        <v>66</v>
      </c>
      <c r="B170" s="13" t="s">
        <v>71</v>
      </c>
      <c r="C170" s="13" t="s">
        <v>100</v>
      </c>
      <c r="D170" s="13" t="s">
        <v>69</v>
      </c>
      <c r="E170" s="13" t="s">
        <v>51</v>
      </c>
      <c r="F170" s="14" t="n">
        <v>14938</v>
      </c>
      <c r="G170" s="14" t="n">
        <v>14938</v>
      </c>
      <c r="H170" s="13" t="s">
        <v>52</v>
      </c>
      <c r="I170" s="14" t="n">
        <v>16991</v>
      </c>
      <c r="J170" s="14" t="n">
        <v>4</v>
      </c>
      <c r="K170" s="14"/>
      <c r="L170" s="14"/>
      <c r="M170" s="14"/>
      <c r="N170" s="14"/>
      <c r="O170" s="15"/>
      <c r="P170" s="13" t="s">
        <v>100</v>
      </c>
      <c r="Q170" s="13" t="s">
        <v>100</v>
      </c>
      <c r="R170" s="13" t="str">
        <f aca="false">TRIM(LEFT(A170,FIND("/",A170)-1))</f>
        <v>Awareness</v>
      </c>
      <c r="S170" s="13" t="str">
        <f aca="false">LEFT(C170,7)</f>
        <v>2026-08</v>
      </c>
    </row>
    <row r="171" customFormat="false" ht="15" hidden="false" customHeight="false" outlineLevel="0" collapsed="false">
      <c r="A171" s="13" t="s">
        <v>73</v>
      </c>
      <c r="B171" s="13" t="s">
        <v>74</v>
      </c>
      <c r="C171" s="13" t="s">
        <v>100</v>
      </c>
      <c r="D171" s="13" t="s">
        <v>69</v>
      </c>
      <c r="E171" s="13" t="s">
        <v>51</v>
      </c>
      <c r="F171" s="14" t="n">
        <v>14976</v>
      </c>
      <c r="G171" s="14" t="n">
        <v>16563</v>
      </c>
      <c r="H171" s="13" t="s">
        <v>52</v>
      </c>
      <c r="I171" s="14" t="n">
        <v>154772</v>
      </c>
      <c r="J171" s="14" t="n">
        <v>267</v>
      </c>
      <c r="K171" s="14" t="n">
        <v>1</v>
      </c>
      <c r="L171" s="14" t="n">
        <v>214549</v>
      </c>
      <c r="M171" s="14" t="n">
        <v>30</v>
      </c>
      <c r="N171" s="14" t="n">
        <v>5149529</v>
      </c>
      <c r="O171" s="15" t="n">
        <v>1.38622619</v>
      </c>
      <c r="P171" s="13" t="s">
        <v>100</v>
      </c>
      <c r="Q171" s="13" t="s">
        <v>100</v>
      </c>
      <c r="R171" s="13" t="str">
        <f aca="false">TRIM(LEFT(A171,FIND("/",A171)-1))</f>
        <v>Sales</v>
      </c>
      <c r="S171" s="13" t="str">
        <f aca="false">LEFT(C171,7)</f>
        <v>2026-08</v>
      </c>
    </row>
    <row r="172" customFormat="false" ht="15" hidden="false" customHeight="false" outlineLevel="0" collapsed="false">
      <c r="A172" s="13" t="s">
        <v>93</v>
      </c>
      <c r="B172" s="13" t="s">
        <v>94</v>
      </c>
      <c r="C172" s="13" t="s">
        <v>100</v>
      </c>
      <c r="D172" s="13" t="s">
        <v>50</v>
      </c>
      <c r="E172" s="13" t="s">
        <v>51</v>
      </c>
      <c r="F172" s="14" t="n">
        <v>242</v>
      </c>
      <c r="G172" s="14" t="n">
        <v>406</v>
      </c>
      <c r="H172" s="13" t="s">
        <v>52</v>
      </c>
      <c r="I172" s="14" t="n">
        <v>14924</v>
      </c>
      <c r="J172" s="14" t="n">
        <v>7</v>
      </c>
      <c r="K172" s="14"/>
      <c r="L172" s="14"/>
      <c r="M172" s="14"/>
      <c r="N172" s="14"/>
      <c r="O172" s="15"/>
      <c r="P172" s="13" t="s">
        <v>100</v>
      </c>
      <c r="Q172" s="13" t="s">
        <v>100</v>
      </c>
      <c r="R172" s="13" t="str">
        <f aca="false">TRIM(LEFT(A172,FIND("/",A172)-1))</f>
        <v>Sales</v>
      </c>
      <c r="S172" s="13" t="str">
        <f aca="false">LEFT(C172,7)</f>
        <v>2026-08</v>
      </c>
    </row>
    <row r="173" customFormat="false" ht="15" hidden="false" customHeight="false" outlineLevel="0" collapsed="false">
      <c r="A173" s="13" t="s">
        <v>93</v>
      </c>
      <c r="B173" s="13" t="s">
        <v>95</v>
      </c>
      <c r="C173" s="13" t="s">
        <v>100</v>
      </c>
      <c r="D173" s="13" t="s">
        <v>50</v>
      </c>
      <c r="E173" s="13" t="s">
        <v>51</v>
      </c>
      <c r="F173" s="14" t="n">
        <v>1005</v>
      </c>
      <c r="G173" s="14" t="n">
        <v>1527</v>
      </c>
      <c r="H173" s="13" t="s">
        <v>52</v>
      </c>
      <c r="I173" s="14" t="n">
        <v>23226</v>
      </c>
      <c r="J173" s="14" t="n">
        <v>19</v>
      </c>
      <c r="K173" s="14"/>
      <c r="L173" s="14"/>
      <c r="M173" s="14" t="n">
        <v>1</v>
      </c>
      <c r="N173" s="14" t="n">
        <v>132986</v>
      </c>
      <c r="O173" s="15"/>
      <c r="P173" s="13" t="s">
        <v>100</v>
      </c>
      <c r="Q173" s="13" t="s">
        <v>100</v>
      </c>
      <c r="R173" s="13" t="str">
        <f aca="false">TRIM(LEFT(A173,FIND("/",A173)-1))</f>
        <v>Sales</v>
      </c>
      <c r="S173" s="13" t="str">
        <f aca="false">LEFT(C173,7)</f>
        <v>2026-08</v>
      </c>
    </row>
    <row r="174" customFormat="false" ht="15" hidden="false" customHeight="false" outlineLevel="0" collapsed="false">
      <c r="A174" s="13" t="s">
        <v>93</v>
      </c>
      <c r="B174" s="13" t="s">
        <v>96</v>
      </c>
      <c r="C174" s="13" t="s">
        <v>100</v>
      </c>
      <c r="D174" s="13" t="s">
        <v>97</v>
      </c>
      <c r="E174" s="13" t="s">
        <v>51</v>
      </c>
      <c r="F174" s="14" t="n">
        <v>3813</v>
      </c>
      <c r="G174" s="14" t="n">
        <v>4195</v>
      </c>
      <c r="H174" s="13" t="s">
        <v>52</v>
      </c>
      <c r="I174" s="14" t="n">
        <v>34618</v>
      </c>
      <c r="J174" s="14" t="n">
        <v>29</v>
      </c>
      <c r="K174" s="14"/>
      <c r="L174" s="14"/>
      <c r="M174" s="14"/>
      <c r="N174" s="14"/>
      <c r="O174" s="15"/>
      <c r="P174" s="13" t="s">
        <v>100</v>
      </c>
      <c r="Q174" s="13" t="s">
        <v>100</v>
      </c>
      <c r="R174" s="13" t="str">
        <f aca="false">TRIM(LEFT(A174,FIND("/",A174)-1))</f>
        <v>Sales</v>
      </c>
      <c r="S174" s="13" t="str">
        <f aca="false">LEFT(C174,7)</f>
        <v>2026-08</v>
      </c>
    </row>
    <row r="175" customFormat="false" ht="15" hidden="false" customHeight="false" outlineLevel="0" collapsed="false">
      <c r="A175" s="13" t="s">
        <v>75</v>
      </c>
      <c r="B175" s="13" t="s">
        <v>76</v>
      </c>
      <c r="C175" s="13" t="s">
        <v>100</v>
      </c>
      <c r="D175" s="13" t="s">
        <v>69</v>
      </c>
      <c r="E175" s="13" t="s">
        <v>51</v>
      </c>
      <c r="F175" s="14" t="n">
        <v>35155</v>
      </c>
      <c r="G175" s="14" t="n">
        <v>37160</v>
      </c>
      <c r="H175" s="13" t="s">
        <v>52</v>
      </c>
      <c r="I175" s="14" t="n">
        <v>83384</v>
      </c>
      <c r="J175" s="14" t="n">
        <v>926</v>
      </c>
      <c r="K175" s="14"/>
      <c r="L175" s="14"/>
      <c r="M175" s="14"/>
      <c r="N175" s="14"/>
      <c r="O175" s="15"/>
      <c r="P175" s="13" t="s">
        <v>100</v>
      </c>
      <c r="Q175" s="13" t="s">
        <v>100</v>
      </c>
      <c r="R175" s="13" t="str">
        <f aca="false">TRIM(LEFT(A175,FIND("/",A175)-1))</f>
        <v>Traffic</v>
      </c>
      <c r="S175" s="13" t="str">
        <f aca="false">LEFT(C175,7)</f>
        <v>2026-08</v>
      </c>
    </row>
    <row r="176" customFormat="false" ht="15" hidden="false" customHeight="false" outlineLevel="0" collapsed="false">
      <c r="A176" s="13" t="s">
        <v>75</v>
      </c>
      <c r="B176" s="13" t="s">
        <v>77</v>
      </c>
      <c r="C176" s="13" t="s">
        <v>100</v>
      </c>
      <c r="D176" s="13" t="s">
        <v>69</v>
      </c>
      <c r="E176" s="13" t="s">
        <v>51</v>
      </c>
      <c r="F176" s="14" t="n">
        <v>5362</v>
      </c>
      <c r="G176" s="14" t="n">
        <v>6725</v>
      </c>
      <c r="H176" s="13" t="s">
        <v>52</v>
      </c>
      <c r="I176" s="14" t="n">
        <v>29697</v>
      </c>
      <c r="J176" s="14" t="n">
        <v>258</v>
      </c>
      <c r="K176" s="14"/>
      <c r="L176" s="14"/>
      <c r="M176" s="14"/>
      <c r="N176" s="14"/>
      <c r="O176" s="15"/>
      <c r="P176" s="13" t="s">
        <v>100</v>
      </c>
      <c r="Q176" s="13" t="s">
        <v>100</v>
      </c>
      <c r="R176" s="13" t="str">
        <f aca="false">TRIM(LEFT(A176,FIND("/",A176)-1))</f>
        <v>Traffic</v>
      </c>
      <c r="S176" s="13" t="str">
        <f aca="false">LEFT(C176,7)</f>
        <v>2026-08</v>
      </c>
    </row>
    <row r="177" customFormat="false" ht="15" hidden="false" customHeight="false" outlineLevel="0" collapsed="false">
      <c r="A177" s="13" t="s">
        <v>75</v>
      </c>
      <c r="B177" s="13" t="s">
        <v>79</v>
      </c>
      <c r="C177" s="13" t="s">
        <v>100</v>
      </c>
      <c r="D177" s="13" t="s">
        <v>69</v>
      </c>
      <c r="E177" s="13" t="s">
        <v>51</v>
      </c>
      <c r="F177" s="14" t="n">
        <v>59330</v>
      </c>
      <c r="G177" s="14" t="n">
        <v>70654</v>
      </c>
      <c r="H177" s="13" t="s">
        <v>52</v>
      </c>
      <c r="I177" s="14" t="n">
        <v>179744</v>
      </c>
      <c r="J177" s="14" t="n">
        <v>1895</v>
      </c>
      <c r="K177" s="14" t="n">
        <v>1</v>
      </c>
      <c r="L177" s="14" t="n">
        <v>159159</v>
      </c>
      <c r="M177" s="14" t="n">
        <v>8</v>
      </c>
      <c r="N177" s="14" t="n">
        <v>1098437</v>
      </c>
      <c r="O177" s="15" t="n">
        <v>0.88547601</v>
      </c>
      <c r="P177" s="13" t="s">
        <v>100</v>
      </c>
      <c r="Q177" s="13" t="s">
        <v>100</v>
      </c>
      <c r="R177" s="13" t="str">
        <f aca="false">TRIM(LEFT(A177,FIND("/",A177)-1))</f>
        <v>Traffic</v>
      </c>
      <c r="S177" s="13" t="str">
        <f aca="false">LEFT(C177,7)</f>
        <v>2026-08</v>
      </c>
    </row>
    <row r="178" customFormat="false" ht="15" hidden="false" customHeight="false" outlineLevel="0" collapsed="false">
      <c r="A178" s="13" t="s">
        <v>66</v>
      </c>
      <c r="B178" s="13" t="s">
        <v>67</v>
      </c>
      <c r="C178" s="13" t="s">
        <v>101</v>
      </c>
      <c r="D178" s="13" t="s">
        <v>69</v>
      </c>
      <c r="E178" s="13" t="s">
        <v>51</v>
      </c>
      <c r="F178" s="14" t="n">
        <v>111782</v>
      </c>
      <c r="G178" s="14" t="n">
        <v>111782</v>
      </c>
      <c r="H178" s="13" t="s">
        <v>52</v>
      </c>
      <c r="I178" s="14" t="n">
        <v>128304</v>
      </c>
      <c r="J178" s="14" t="n">
        <v>26</v>
      </c>
      <c r="K178" s="14"/>
      <c r="L178" s="14"/>
      <c r="M178" s="14"/>
      <c r="N178" s="14"/>
      <c r="O178" s="15"/>
      <c r="P178" s="13" t="s">
        <v>101</v>
      </c>
      <c r="Q178" s="13" t="s">
        <v>101</v>
      </c>
      <c r="R178" s="13" t="str">
        <f aca="false">TRIM(LEFT(A178,FIND("/",A178)-1))</f>
        <v>Awareness</v>
      </c>
      <c r="S178" s="13" t="str">
        <f aca="false">LEFT(C178,7)</f>
        <v>2026-08</v>
      </c>
    </row>
    <row r="179" customFormat="false" ht="15" hidden="false" customHeight="false" outlineLevel="0" collapsed="false">
      <c r="A179" s="13" t="s">
        <v>66</v>
      </c>
      <c r="B179" s="13" t="s">
        <v>70</v>
      </c>
      <c r="C179" s="13" t="s">
        <v>101</v>
      </c>
      <c r="D179" s="13" t="s">
        <v>69</v>
      </c>
      <c r="E179" s="13" t="s">
        <v>51</v>
      </c>
      <c r="F179" s="14" t="n">
        <v>4416</v>
      </c>
      <c r="G179" s="14" t="n">
        <v>4621</v>
      </c>
      <c r="H179" s="13" t="s">
        <v>52</v>
      </c>
      <c r="I179" s="14" t="n">
        <v>5307</v>
      </c>
      <c r="J179" s="14"/>
      <c r="K179" s="14"/>
      <c r="L179" s="14"/>
      <c r="M179" s="14"/>
      <c r="N179" s="14"/>
      <c r="O179" s="15"/>
      <c r="P179" s="13" t="s">
        <v>101</v>
      </c>
      <c r="Q179" s="13" t="s">
        <v>101</v>
      </c>
      <c r="R179" s="13" t="str">
        <f aca="false">TRIM(LEFT(A179,FIND("/",A179)-1))</f>
        <v>Awareness</v>
      </c>
      <c r="S179" s="13" t="str">
        <f aca="false">LEFT(C179,7)</f>
        <v>2026-08</v>
      </c>
    </row>
    <row r="180" customFormat="false" ht="15" hidden="false" customHeight="false" outlineLevel="0" collapsed="false">
      <c r="A180" s="13" t="s">
        <v>66</v>
      </c>
      <c r="B180" s="13" t="s">
        <v>71</v>
      </c>
      <c r="C180" s="13" t="s">
        <v>101</v>
      </c>
      <c r="D180" s="13" t="s">
        <v>69</v>
      </c>
      <c r="E180" s="13" t="s">
        <v>51</v>
      </c>
      <c r="F180" s="14" t="n">
        <v>9251</v>
      </c>
      <c r="G180" s="14" t="n">
        <v>9287</v>
      </c>
      <c r="H180" s="13" t="s">
        <v>52</v>
      </c>
      <c r="I180" s="14" t="n">
        <v>10638</v>
      </c>
      <c r="J180" s="14" t="n">
        <v>5</v>
      </c>
      <c r="K180" s="14"/>
      <c r="L180" s="14"/>
      <c r="M180" s="14"/>
      <c r="N180" s="14"/>
      <c r="O180" s="15"/>
      <c r="P180" s="13" t="s">
        <v>101</v>
      </c>
      <c r="Q180" s="13" t="s">
        <v>101</v>
      </c>
      <c r="R180" s="13" t="str">
        <f aca="false">TRIM(LEFT(A180,FIND("/",A180)-1))</f>
        <v>Awareness</v>
      </c>
      <c r="S180" s="13" t="str">
        <f aca="false">LEFT(C180,7)</f>
        <v>2026-08</v>
      </c>
    </row>
    <row r="181" customFormat="false" ht="15" hidden="false" customHeight="false" outlineLevel="0" collapsed="false">
      <c r="A181" s="13" t="s">
        <v>73</v>
      </c>
      <c r="B181" s="13" t="s">
        <v>74</v>
      </c>
      <c r="C181" s="13" t="s">
        <v>101</v>
      </c>
      <c r="D181" s="13" t="s">
        <v>69</v>
      </c>
      <c r="E181" s="13" t="s">
        <v>51</v>
      </c>
      <c r="F181" s="14" t="n">
        <v>12522</v>
      </c>
      <c r="G181" s="14" t="n">
        <v>14287</v>
      </c>
      <c r="H181" s="13" t="s">
        <v>52</v>
      </c>
      <c r="I181" s="14" t="n">
        <v>210094</v>
      </c>
      <c r="J181" s="14" t="n">
        <v>325</v>
      </c>
      <c r="K181" s="14" t="n">
        <v>3</v>
      </c>
      <c r="L181" s="14" t="n">
        <v>684938</v>
      </c>
      <c r="M181" s="14" t="n">
        <v>33</v>
      </c>
      <c r="N181" s="14" t="n">
        <v>5613510</v>
      </c>
      <c r="O181" s="15" t="n">
        <v>3.26015022</v>
      </c>
      <c r="P181" s="13" t="s">
        <v>101</v>
      </c>
      <c r="Q181" s="13" t="s">
        <v>101</v>
      </c>
      <c r="R181" s="13" t="str">
        <f aca="false">TRIM(LEFT(A181,FIND("/",A181)-1))</f>
        <v>Sales</v>
      </c>
      <c r="S181" s="13" t="str">
        <f aca="false">LEFT(C181,7)</f>
        <v>2026-08</v>
      </c>
    </row>
    <row r="182" customFormat="false" ht="15" hidden="false" customHeight="false" outlineLevel="0" collapsed="false">
      <c r="A182" s="13" t="s">
        <v>93</v>
      </c>
      <c r="B182" s="13" t="s">
        <v>94</v>
      </c>
      <c r="C182" s="13" t="s">
        <v>101</v>
      </c>
      <c r="D182" s="13" t="s">
        <v>50</v>
      </c>
      <c r="E182" s="13" t="s">
        <v>51</v>
      </c>
      <c r="F182" s="14" t="n">
        <v>330</v>
      </c>
      <c r="G182" s="14" t="n">
        <v>632</v>
      </c>
      <c r="H182" s="13" t="s">
        <v>52</v>
      </c>
      <c r="I182" s="14" t="n">
        <v>18143</v>
      </c>
      <c r="J182" s="14" t="n">
        <v>9</v>
      </c>
      <c r="K182" s="14"/>
      <c r="L182" s="14"/>
      <c r="M182" s="14"/>
      <c r="N182" s="14"/>
      <c r="O182" s="15"/>
      <c r="P182" s="13" t="s">
        <v>101</v>
      </c>
      <c r="Q182" s="13" t="s">
        <v>101</v>
      </c>
      <c r="R182" s="13" t="str">
        <f aca="false">TRIM(LEFT(A182,FIND("/",A182)-1))</f>
        <v>Sales</v>
      </c>
      <c r="S182" s="13" t="str">
        <f aca="false">LEFT(C182,7)</f>
        <v>2026-08</v>
      </c>
    </row>
    <row r="183" customFormat="false" ht="15" hidden="false" customHeight="false" outlineLevel="0" collapsed="false">
      <c r="A183" s="13" t="s">
        <v>93</v>
      </c>
      <c r="B183" s="13" t="s">
        <v>95</v>
      </c>
      <c r="C183" s="13" t="s">
        <v>101</v>
      </c>
      <c r="D183" s="13" t="s">
        <v>50</v>
      </c>
      <c r="E183" s="13" t="s">
        <v>51</v>
      </c>
      <c r="F183" s="14" t="n">
        <v>2678</v>
      </c>
      <c r="G183" s="14" t="n">
        <v>4424</v>
      </c>
      <c r="H183" s="13" t="s">
        <v>52</v>
      </c>
      <c r="I183" s="14" t="n">
        <v>70861</v>
      </c>
      <c r="J183" s="14" t="n">
        <v>37</v>
      </c>
      <c r="K183" s="14"/>
      <c r="L183" s="14"/>
      <c r="M183" s="14" t="n">
        <v>2</v>
      </c>
      <c r="N183" s="14" t="n">
        <v>365512</v>
      </c>
      <c r="O183" s="15"/>
      <c r="P183" s="13" t="s">
        <v>101</v>
      </c>
      <c r="Q183" s="13" t="s">
        <v>101</v>
      </c>
      <c r="R183" s="13" t="str">
        <f aca="false">TRIM(LEFT(A183,FIND("/",A183)-1))</f>
        <v>Sales</v>
      </c>
      <c r="S183" s="13" t="str">
        <f aca="false">LEFT(C183,7)</f>
        <v>2026-08</v>
      </c>
    </row>
    <row r="184" customFormat="false" ht="15" hidden="false" customHeight="false" outlineLevel="0" collapsed="false">
      <c r="A184" s="13" t="s">
        <v>75</v>
      </c>
      <c r="B184" s="13" t="s">
        <v>76</v>
      </c>
      <c r="C184" s="13" t="s">
        <v>101</v>
      </c>
      <c r="D184" s="13" t="s">
        <v>69</v>
      </c>
      <c r="E184" s="13" t="s">
        <v>51</v>
      </c>
      <c r="F184" s="14" t="n">
        <v>23349</v>
      </c>
      <c r="G184" s="14" t="n">
        <v>25044</v>
      </c>
      <c r="H184" s="13" t="s">
        <v>52</v>
      </c>
      <c r="I184" s="14" t="n">
        <v>56024</v>
      </c>
      <c r="J184" s="14" t="n">
        <v>620</v>
      </c>
      <c r="K184" s="14"/>
      <c r="L184" s="14"/>
      <c r="M184" s="14"/>
      <c r="N184" s="14"/>
      <c r="O184" s="15"/>
      <c r="P184" s="13" t="s">
        <v>101</v>
      </c>
      <c r="Q184" s="13" t="s">
        <v>101</v>
      </c>
      <c r="R184" s="13" t="str">
        <f aca="false">TRIM(LEFT(A184,FIND("/",A184)-1))</f>
        <v>Traffic</v>
      </c>
      <c r="S184" s="13" t="str">
        <f aca="false">LEFT(C184,7)</f>
        <v>2026-08</v>
      </c>
    </row>
    <row r="185" customFormat="false" ht="15" hidden="false" customHeight="false" outlineLevel="0" collapsed="false">
      <c r="A185" s="13" t="s">
        <v>75</v>
      </c>
      <c r="B185" s="13" t="s">
        <v>77</v>
      </c>
      <c r="C185" s="13" t="s">
        <v>101</v>
      </c>
      <c r="D185" s="13" t="s">
        <v>69</v>
      </c>
      <c r="E185" s="13" t="s">
        <v>51</v>
      </c>
      <c r="F185" s="14" t="n">
        <v>689</v>
      </c>
      <c r="G185" s="14" t="n">
        <v>733</v>
      </c>
      <c r="H185" s="13" t="s">
        <v>52</v>
      </c>
      <c r="I185" s="14" t="n">
        <v>2785</v>
      </c>
      <c r="J185" s="14" t="n">
        <v>26</v>
      </c>
      <c r="K185" s="14"/>
      <c r="L185" s="14"/>
      <c r="M185" s="14"/>
      <c r="N185" s="14"/>
      <c r="O185" s="15"/>
      <c r="P185" s="13" t="s">
        <v>101</v>
      </c>
      <c r="Q185" s="13" t="s">
        <v>101</v>
      </c>
      <c r="R185" s="13" t="str">
        <f aca="false">TRIM(LEFT(A185,FIND("/",A185)-1))</f>
        <v>Traffic</v>
      </c>
      <c r="S185" s="13" t="str">
        <f aca="false">LEFT(C185,7)</f>
        <v>2026-08</v>
      </c>
    </row>
    <row r="186" customFormat="false" ht="15" hidden="false" customHeight="false" outlineLevel="0" collapsed="false">
      <c r="A186" s="13" t="s">
        <v>75</v>
      </c>
      <c r="B186" s="13" t="s">
        <v>79</v>
      </c>
      <c r="C186" s="13" t="s">
        <v>101</v>
      </c>
      <c r="D186" s="13" t="s">
        <v>69</v>
      </c>
      <c r="E186" s="13" t="s">
        <v>51</v>
      </c>
      <c r="F186" s="14" t="n">
        <v>70335</v>
      </c>
      <c r="G186" s="14" t="n">
        <v>82711</v>
      </c>
      <c r="H186" s="13" t="s">
        <v>52</v>
      </c>
      <c r="I186" s="14" t="n">
        <v>203118</v>
      </c>
      <c r="J186" s="14" t="n">
        <v>2088</v>
      </c>
      <c r="K186" s="14"/>
      <c r="L186" s="14"/>
      <c r="M186" s="14" t="n">
        <v>3</v>
      </c>
      <c r="N186" s="14" t="n">
        <v>532969</v>
      </c>
      <c r="O186" s="15"/>
      <c r="P186" s="13" t="s">
        <v>101</v>
      </c>
      <c r="Q186" s="13" t="s">
        <v>101</v>
      </c>
      <c r="R186" s="13" t="str">
        <f aca="false">TRIM(LEFT(A186,FIND("/",A186)-1))</f>
        <v>Traffic</v>
      </c>
      <c r="S186" s="13" t="str">
        <f aca="false">LEFT(C186,7)</f>
        <v>2026-08</v>
      </c>
    </row>
    <row r="187" customFormat="false" ht="15" hidden="false" customHeight="false" outlineLevel="0" collapsed="false">
      <c r="A187" s="13" t="s">
        <v>66</v>
      </c>
      <c r="B187" s="13" t="s">
        <v>67</v>
      </c>
      <c r="C187" s="13" t="s">
        <v>102</v>
      </c>
      <c r="D187" s="13" t="s">
        <v>69</v>
      </c>
      <c r="E187" s="13" t="s">
        <v>51</v>
      </c>
      <c r="F187" s="14" t="n">
        <v>99999</v>
      </c>
      <c r="G187" s="14" t="n">
        <v>99999</v>
      </c>
      <c r="H187" s="13" t="s">
        <v>52</v>
      </c>
      <c r="I187" s="14" t="n">
        <v>116670</v>
      </c>
      <c r="J187" s="14" t="n">
        <v>22</v>
      </c>
      <c r="K187" s="14"/>
      <c r="L187" s="14"/>
      <c r="M187" s="14"/>
      <c r="N187" s="14"/>
      <c r="O187" s="15"/>
      <c r="P187" s="13" t="s">
        <v>102</v>
      </c>
      <c r="Q187" s="13" t="s">
        <v>102</v>
      </c>
      <c r="R187" s="13" t="str">
        <f aca="false">TRIM(LEFT(A187,FIND("/",A187)-1))</f>
        <v>Awareness</v>
      </c>
      <c r="S187" s="13" t="str">
        <f aca="false">LEFT(C187,7)</f>
        <v>2026-08</v>
      </c>
    </row>
    <row r="188" customFormat="false" ht="15" hidden="false" customHeight="false" outlineLevel="0" collapsed="false">
      <c r="A188" s="13" t="s">
        <v>66</v>
      </c>
      <c r="B188" s="13" t="s">
        <v>70</v>
      </c>
      <c r="C188" s="13" t="s">
        <v>102</v>
      </c>
      <c r="D188" s="13" t="s">
        <v>69</v>
      </c>
      <c r="E188" s="13" t="s">
        <v>51</v>
      </c>
      <c r="F188" s="14" t="n">
        <v>9488</v>
      </c>
      <c r="G188" s="14" t="n">
        <v>9609</v>
      </c>
      <c r="H188" s="13" t="s">
        <v>52</v>
      </c>
      <c r="I188" s="14" t="n">
        <v>11169</v>
      </c>
      <c r="J188" s="14" t="n">
        <v>3</v>
      </c>
      <c r="K188" s="14"/>
      <c r="L188" s="14"/>
      <c r="M188" s="14"/>
      <c r="N188" s="14"/>
      <c r="O188" s="15"/>
      <c r="P188" s="13" t="s">
        <v>102</v>
      </c>
      <c r="Q188" s="13" t="s">
        <v>102</v>
      </c>
      <c r="R188" s="13" t="str">
        <f aca="false">TRIM(LEFT(A188,FIND("/",A188)-1))</f>
        <v>Awareness</v>
      </c>
      <c r="S188" s="13" t="str">
        <f aca="false">LEFT(C188,7)</f>
        <v>2026-08</v>
      </c>
    </row>
    <row r="189" customFormat="false" ht="15" hidden="false" customHeight="false" outlineLevel="0" collapsed="false">
      <c r="A189" s="13" t="s">
        <v>66</v>
      </c>
      <c r="B189" s="13" t="s">
        <v>71</v>
      </c>
      <c r="C189" s="13" t="s">
        <v>102</v>
      </c>
      <c r="D189" s="13" t="s">
        <v>69</v>
      </c>
      <c r="E189" s="13" t="s">
        <v>51</v>
      </c>
      <c r="F189" s="14" t="n">
        <v>12041</v>
      </c>
      <c r="G189" s="14" t="n">
        <v>12444</v>
      </c>
      <c r="H189" s="13" t="s">
        <v>52</v>
      </c>
      <c r="I189" s="14" t="n">
        <v>14520</v>
      </c>
      <c r="J189" s="14" t="n">
        <v>4</v>
      </c>
      <c r="K189" s="14"/>
      <c r="L189" s="14"/>
      <c r="M189" s="14"/>
      <c r="N189" s="14"/>
      <c r="O189" s="15"/>
      <c r="P189" s="13" t="s">
        <v>102</v>
      </c>
      <c r="Q189" s="13" t="s">
        <v>102</v>
      </c>
      <c r="R189" s="13" t="str">
        <f aca="false">TRIM(LEFT(A189,FIND("/",A189)-1))</f>
        <v>Awareness</v>
      </c>
      <c r="S189" s="13" t="str">
        <f aca="false">LEFT(C189,7)</f>
        <v>2026-08</v>
      </c>
    </row>
    <row r="190" customFormat="false" ht="15" hidden="false" customHeight="false" outlineLevel="0" collapsed="false">
      <c r="A190" s="13" t="s">
        <v>73</v>
      </c>
      <c r="B190" s="13" t="s">
        <v>74</v>
      </c>
      <c r="C190" s="13" t="s">
        <v>102</v>
      </c>
      <c r="D190" s="13" t="s">
        <v>69</v>
      </c>
      <c r="E190" s="13" t="s">
        <v>51</v>
      </c>
      <c r="F190" s="14" t="n">
        <v>7339</v>
      </c>
      <c r="G190" s="14" t="n">
        <v>8736</v>
      </c>
      <c r="H190" s="13" t="s">
        <v>52</v>
      </c>
      <c r="I190" s="14" t="n">
        <v>158113</v>
      </c>
      <c r="J190" s="14" t="n">
        <v>236</v>
      </c>
      <c r="K190" s="14" t="n">
        <v>1</v>
      </c>
      <c r="L190" s="14" t="n">
        <v>256399</v>
      </c>
      <c r="M190" s="14" t="n">
        <v>18</v>
      </c>
      <c r="N190" s="14" t="n">
        <v>2843403</v>
      </c>
      <c r="O190" s="15" t="n">
        <v>1.62161872</v>
      </c>
      <c r="P190" s="13" t="s">
        <v>102</v>
      </c>
      <c r="Q190" s="13" t="s">
        <v>102</v>
      </c>
      <c r="R190" s="13" t="str">
        <f aca="false">TRIM(LEFT(A190,FIND("/",A190)-1))</f>
        <v>Sales</v>
      </c>
      <c r="S190" s="13" t="str">
        <f aca="false">LEFT(C190,7)</f>
        <v>2026-08</v>
      </c>
    </row>
    <row r="191" customFormat="false" ht="15" hidden="false" customHeight="false" outlineLevel="0" collapsed="false">
      <c r="A191" s="13" t="s">
        <v>93</v>
      </c>
      <c r="B191" s="13" t="s">
        <v>94</v>
      </c>
      <c r="C191" s="13" t="s">
        <v>102</v>
      </c>
      <c r="D191" s="13" t="s">
        <v>50</v>
      </c>
      <c r="E191" s="13" t="s">
        <v>51</v>
      </c>
      <c r="F191" s="14" t="n">
        <v>840</v>
      </c>
      <c r="G191" s="14" t="n">
        <v>1600</v>
      </c>
      <c r="H191" s="13" t="s">
        <v>52</v>
      </c>
      <c r="I191" s="14" t="n">
        <v>59928</v>
      </c>
      <c r="J191" s="14" t="n">
        <v>13</v>
      </c>
      <c r="K191" s="14"/>
      <c r="L191" s="14"/>
      <c r="M191" s="14" t="n">
        <v>3</v>
      </c>
      <c r="N191" s="14" t="n">
        <v>498993</v>
      </c>
      <c r="O191" s="15"/>
      <c r="P191" s="13" t="s">
        <v>102</v>
      </c>
      <c r="Q191" s="13" t="s">
        <v>102</v>
      </c>
      <c r="R191" s="13" t="str">
        <f aca="false">TRIM(LEFT(A191,FIND("/",A191)-1))</f>
        <v>Sales</v>
      </c>
      <c r="S191" s="13" t="str">
        <f aca="false">LEFT(C191,7)</f>
        <v>2026-08</v>
      </c>
    </row>
    <row r="192" customFormat="false" ht="15" hidden="false" customHeight="false" outlineLevel="0" collapsed="false">
      <c r="A192" s="13" t="s">
        <v>93</v>
      </c>
      <c r="B192" s="13" t="s">
        <v>95</v>
      </c>
      <c r="C192" s="13" t="s">
        <v>102</v>
      </c>
      <c r="D192" s="13" t="s">
        <v>50</v>
      </c>
      <c r="E192" s="13" t="s">
        <v>51</v>
      </c>
      <c r="F192" s="14" t="n">
        <v>5530</v>
      </c>
      <c r="G192" s="14" t="n">
        <v>10100</v>
      </c>
      <c r="H192" s="13" t="s">
        <v>52</v>
      </c>
      <c r="I192" s="14" t="n">
        <v>201736</v>
      </c>
      <c r="J192" s="14" t="n">
        <v>179</v>
      </c>
      <c r="K192" s="14"/>
      <c r="L192" s="14"/>
      <c r="M192" s="14" t="n">
        <v>11</v>
      </c>
      <c r="N192" s="14" t="n">
        <v>1554662</v>
      </c>
      <c r="O192" s="15"/>
      <c r="P192" s="13" t="s">
        <v>102</v>
      </c>
      <c r="Q192" s="13" t="s">
        <v>102</v>
      </c>
      <c r="R192" s="13" t="str">
        <f aca="false">TRIM(LEFT(A192,FIND("/",A192)-1))</f>
        <v>Sales</v>
      </c>
      <c r="S192" s="13" t="str">
        <f aca="false">LEFT(C192,7)</f>
        <v>2026-08</v>
      </c>
    </row>
    <row r="193" customFormat="false" ht="15" hidden="false" customHeight="false" outlineLevel="0" collapsed="false">
      <c r="A193" s="13" t="s">
        <v>75</v>
      </c>
      <c r="B193" s="13" t="s">
        <v>76</v>
      </c>
      <c r="C193" s="13" t="s">
        <v>102</v>
      </c>
      <c r="D193" s="13" t="s">
        <v>69</v>
      </c>
      <c r="E193" s="13" t="s">
        <v>51</v>
      </c>
      <c r="F193" s="14" t="n">
        <v>23489</v>
      </c>
      <c r="G193" s="14" t="n">
        <v>27655</v>
      </c>
      <c r="H193" s="13" t="s">
        <v>52</v>
      </c>
      <c r="I193" s="14" t="n">
        <v>79918</v>
      </c>
      <c r="J193" s="14" t="n">
        <v>644</v>
      </c>
      <c r="K193" s="14"/>
      <c r="L193" s="14"/>
      <c r="M193" s="14"/>
      <c r="N193" s="14"/>
      <c r="O193" s="15"/>
      <c r="P193" s="13" t="s">
        <v>102</v>
      </c>
      <c r="Q193" s="13" t="s">
        <v>102</v>
      </c>
      <c r="R193" s="13" t="str">
        <f aca="false">TRIM(LEFT(A193,FIND("/",A193)-1))</f>
        <v>Traffic</v>
      </c>
      <c r="S193" s="13" t="str">
        <f aca="false">LEFT(C193,7)</f>
        <v>2026-08</v>
      </c>
    </row>
    <row r="194" customFormat="false" ht="15" hidden="false" customHeight="false" outlineLevel="0" collapsed="false">
      <c r="A194" s="13" t="s">
        <v>75</v>
      </c>
      <c r="B194" s="13" t="s">
        <v>77</v>
      </c>
      <c r="C194" s="13" t="s">
        <v>102</v>
      </c>
      <c r="D194" s="13" t="s">
        <v>69</v>
      </c>
      <c r="E194" s="13" t="s">
        <v>51</v>
      </c>
      <c r="F194" s="14" t="n">
        <v>1279</v>
      </c>
      <c r="G194" s="14" t="n">
        <v>1450</v>
      </c>
      <c r="H194" s="13" t="s">
        <v>52</v>
      </c>
      <c r="I194" s="14" t="n">
        <v>6658</v>
      </c>
      <c r="J194" s="14" t="n">
        <v>57</v>
      </c>
      <c r="K194" s="14"/>
      <c r="L194" s="14"/>
      <c r="M194" s="14"/>
      <c r="N194" s="14"/>
      <c r="O194" s="15"/>
      <c r="P194" s="13" t="s">
        <v>102</v>
      </c>
      <c r="Q194" s="13" t="s">
        <v>102</v>
      </c>
      <c r="R194" s="13" t="str">
        <f aca="false">TRIM(LEFT(A194,FIND("/",A194)-1))</f>
        <v>Traffic</v>
      </c>
      <c r="S194" s="13" t="str">
        <f aca="false">LEFT(C194,7)</f>
        <v>2026-08</v>
      </c>
    </row>
    <row r="195" customFormat="false" ht="15" hidden="false" customHeight="false" outlineLevel="0" collapsed="false">
      <c r="A195" s="13" t="s">
        <v>75</v>
      </c>
      <c r="B195" s="13" t="s">
        <v>79</v>
      </c>
      <c r="C195" s="13" t="s">
        <v>102</v>
      </c>
      <c r="D195" s="13" t="s">
        <v>69</v>
      </c>
      <c r="E195" s="13" t="s">
        <v>51</v>
      </c>
      <c r="F195" s="14" t="n">
        <v>34079</v>
      </c>
      <c r="G195" s="14" t="n">
        <v>37449</v>
      </c>
      <c r="H195" s="13" t="s">
        <v>52</v>
      </c>
      <c r="I195" s="14" t="n">
        <v>122643</v>
      </c>
      <c r="J195" s="14" t="n">
        <v>1084</v>
      </c>
      <c r="K195" s="14"/>
      <c r="L195" s="14"/>
      <c r="M195" s="14" t="n">
        <v>4</v>
      </c>
      <c r="N195" s="14" t="n">
        <v>657503</v>
      </c>
      <c r="O195" s="15"/>
      <c r="P195" s="13" t="s">
        <v>102</v>
      </c>
      <c r="Q195" s="13" t="s">
        <v>102</v>
      </c>
      <c r="R195" s="13" t="str">
        <f aca="false">TRIM(LEFT(A195,FIND("/",A195)-1))</f>
        <v>Traffic</v>
      </c>
      <c r="S195" s="13" t="str">
        <f aca="false">LEFT(C195,7)</f>
        <v>2026-08</v>
      </c>
    </row>
    <row r="196" customFormat="false" ht="15" hidden="false" customHeight="false" outlineLevel="0" collapsed="false">
      <c r="A196" s="13" t="s">
        <v>66</v>
      </c>
      <c r="B196" s="13" t="s">
        <v>67</v>
      </c>
      <c r="C196" s="13" t="s">
        <v>103</v>
      </c>
      <c r="D196" s="13" t="s">
        <v>69</v>
      </c>
      <c r="E196" s="13" t="s">
        <v>51</v>
      </c>
      <c r="F196" s="14" t="n">
        <v>75314</v>
      </c>
      <c r="G196" s="14" t="n">
        <v>76690</v>
      </c>
      <c r="H196" s="13" t="s">
        <v>52</v>
      </c>
      <c r="I196" s="14" t="n">
        <v>94953</v>
      </c>
      <c r="J196" s="14" t="n">
        <v>17</v>
      </c>
      <c r="K196" s="14"/>
      <c r="L196" s="14"/>
      <c r="M196" s="14"/>
      <c r="N196" s="14"/>
      <c r="O196" s="15"/>
      <c r="P196" s="13" t="s">
        <v>103</v>
      </c>
      <c r="Q196" s="13" t="s">
        <v>103</v>
      </c>
      <c r="R196" s="13" t="str">
        <f aca="false">TRIM(LEFT(A196,FIND("/",A196)-1))</f>
        <v>Awareness</v>
      </c>
      <c r="S196" s="13" t="str">
        <f aca="false">LEFT(C196,7)</f>
        <v>2026-08</v>
      </c>
    </row>
    <row r="197" customFormat="false" ht="15" hidden="false" customHeight="false" outlineLevel="0" collapsed="false">
      <c r="A197" s="13" t="s">
        <v>66</v>
      </c>
      <c r="B197" s="13" t="s">
        <v>70</v>
      </c>
      <c r="C197" s="13" t="s">
        <v>103</v>
      </c>
      <c r="D197" s="13" t="s">
        <v>69</v>
      </c>
      <c r="E197" s="13" t="s">
        <v>51</v>
      </c>
      <c r="F197" s="14" t="n">
        <v>26352</v>
      </c>
      <c r="G197" s="14" t="n">
        <v>26733</v>
      </c>
      <c r="H197" s="13" t="s">
        <v>52</v>
      </c>
      <c r="I197" s="14" t="n">
        <v>32806</v>
      </c>
      <c r="J197" s="14" t="n">
        <v>4</v>
      </c>
      <c r="K197" s="14"/>
      <c r="L197" s="14"/>
      <c r="M197" s="14"/>
      <c r="N197" s="14"/>
      <c r="O197" s="15"/>
      <c r="P197" s="13" t="s">
        <v>103</v>
      </c>
      <c r="Q197" s="13" t="s">
        <v>103</v>
      </c>
      <c r="R197" s="13" t="str">
        <f aca="false">TRIM(LEFT(A197,FIND("/",A197)-1))</f>
        <v>Awareness</v>
      </c>
      <c r="S197" s="13" t="str">
        <f aca="false">LEFT(C197,7)</f>
        <v>2026-08</v>
      </c>
    </row>
    <row r="198" customFormat="false" ht="15" hidden="false" customHeight="false" outlineLevel="0" collapsed="false">
      <c r="A198" s="13" t="s">
        <v>66</v>
      </c>
      <c r="B198" s="13" t="s">
        <v>71</v>
      </c>
      <c r="C198" s="13" t="s">
        <v>103</v>
      </c>
      <c r="D198" s="13" t="s">
        <v>69</v>
      </c>
      <c r="E198" s="13" t="s">
        <v>51</v>
      </c>
      <c r="F198" s="14" t="n">
        <v>13395</v>
      </c>
      <c r="G198" s="14" t="n">
        <v>13403</v>
      </c>
      <c r="H198" s="13" t="s">
        <v>52</v>
      </c>
      <c r="I198" s="14" t="n">
        <v>16479</v>
      </c>
      <c r="J198" s="14" t="n">
        <v>4</v>
      </c>
      <c r="K198" s="14"/>
      <c r="L198" s="14"/>
      <c r="M198" s="14"/>
      <c r="N198" s="14"/>
      <c r="O198" s="15"/>
      <c r="P198" s="13" t="s">
        <v>103</v>
      </c>
      <c r="Q198" s="13" t="s">
        <v>103</v>
      </c>
      <c r="R198" s="13" t="str">
        <f aca="false">TRIM(LEFT(A198,FIND("/",A198)-1))</f>
        <v>Awareness</v>
      </c>
      <c r="S198" s="13" t="str">
        <f aca="false">LEFT(C198,7)</f>
        <v>2026-08</v>
      </c>
    </row>
    <row r="199" customFormat="false" ht="15" hidden="false" customHeight="false" outlineLevel="0" collapsed="false">
      <c r="A199" s="13" t="s">
        <v>73</v>
      </c>
      <c r="B199" s="13" t="s">
        <v>74</v>
      </c>
      <c r="C199" s="13" t="s">
        <v>103</v>
      </c>
      <c r="D199" s="13" t="s">
        <v>69</v>
      </c>
      <c r="E199" s="13" t="s">
        <v>51</v>
      </c>
      <c r="F199" s="14" t="n">
        <v>13130</v>
      </c>
      <c r="G199" s="14" t="n">
        <v>15079</v>
      </c>
      <c r="H199" s="13" t="s">
        <v>52</v>
      </c>
      <c r="I199" s="14" t="n">
        <v>253433</v>
      </c>
      <c r="J199" s="14" t="n">
        <v>328</v>
      </c>
      <c r="K199" s="14" t="n">
        <v>4</v>
      </c>
      <c r="L199" s="14" t="n">
        <v>706020</v>
      </c>
      <c r="M199" s="14" t="n">
        <v>23</v>
      </c>
      <c r="N199" s="14" t="n">
        <v>3677375</v>
      </c>
      <c r="O199" s="15" t="n">
        <v>2.78582505</v>
      </c>
      <c r="P199" s="13" t="s">
        <v>103</v>
      </c>
      <c r="Q199" s="13" t="s">
        <v>103</v>
      </c>
      <c r="R199" s="13" t="str">
        <f aca="false">TRIM(LEFT(A199,FIND("/",A199)-1))</f>
        <v>Sales</v>
      </c>
      <c r="S199" s="13" t="str">
        <f aca="false">LEFT(C199,7)</f>
        <v>2026-08</v>
      </c>
    </row>
    <row r="200" customFormat="false" ht="15" hidden="false" customHeight="false" outlineLevel="0" collapsed="false">
      <c r="A200" s="13" t="s">
        <v>93</v>
      </c>
      <c r="B200" s="13" t="s">
        <v>94</v>
      </c>
      <c r="C200" s="13" t="s">
        <v>103</v>
      </c>
      <c r="D200" s="13" t="s">
        <v>50</v>
      </c>
      <c r="E200" s="13" t="s">
        <v>51</v>
      </c>
      <c r="F200" s="14" t="n">
        <v>844</v>
      </c>
      <c r="G200" s="14" t="n">
        <v>1646</v>
      </c>
      <c r="H200" s="13" t="s">
        <v>52</v>
      </c>
      <c r="I200" s="14" t="n">
        <v>55818</v>
      </c>
      <c r="J200" s="14" t="n">
        <v>25</v>
      </c>
      <c r="K200" s="14" t="n">
        <v>1</v>
      </c>
      <c r="L200" s="14" t="n">
        <v>239671</v>
      </c>
      <c r="M200" s="14" t="n">
        <v>4</v>
      </c>
      <c r="N200" s="14" t="n">
        <v>596287</v>
      </c>
      <c r="O200" s="15" t="n">
        <v>4.29379412</v>
      </c>
      <c r="P200" s="13" t="s">
        <v>103</v>
      </c>
      <c r="Q200" s="13" t="s">
        <v>103</v>
      </c>
      <c r="R200" s="13" t="str">
        <f aca="false">TRIM(LEFT(A200,FIND("/",A200)-1))</f>
        <v>Sales</v>
      </c>
      <c r="S200" s="13" t="str">
        <f aca="false">LEFT(C200,7)</f>
        <v>2026-08</v>
      </c>
    </row>
    <row r="201" customFormat="false" ht="15" hidden="false" customHeight="false" outlineLevel="0" collapsed="false">
      <c r="A201" s="13" t="s">
        <v>93</v>
      </c>
      <c r="B201" s="13" t="s">
        <v>95</v>
      </c>
      <c r="C201" s="13" t="s">
        <v>103</v>
      </c>
      <c r="D201" s="13" t="s">
        <v>50</v>
      </c>
      <c r="E201" s="13" t="s">
        <v>51</v>
      </c>
      <c r="F201" s="14" t="n">
        <v>3213</v>
      </c>
      <c r="G201" s="14" t="n">
        <v>5859</v>
      </c>
      <c r="H201" s="13" t="s">
        <v>52</v>
      </c>
      <c r="I201" s="14" t="n">
        <v>136205</v>
      </c>
      <c r="J201" s="14" t="n">
        <v>118</v>
      </c>
      <c r="K201" s="14"/>
      <c r="L201" s="14"/>
      <c r="M201" s="14" t="n">
        <v>3</v>
      </c>
      <c r="N201" s="14" t="n">
        <v>446232</v>
      </c>
      <c r="O201" s="15"/>
      <c r="P201" s="13" t="s">
        <v>103</v>
      </c>
      <c r="Q201" s="13" t="s">
        <v>103</v>
      </c>
      <c r="R201" s="13" t="str">
        <f aca="false">TRIM(LEFT(A201,FIND("/",A201)-1))</f>
        <v>Sales</v>
      </c>
      <c r="S201" s="13" t="str">
        <f aca="false">LEFT(C201,7)</f>
        <v>2026-08</v>
      </c>
    </row>
    <row r="202" customFormat="false" ht="15" hidden="false" customHeight="false" outlineLevel="0" collapsed="false">
      <c r="A202" s="13" t="s">
        <v>75</v>
      </c>
      <c r="B202" s="13" t="s">
        <v>76</v>
      </c>
      <c r="C202" s="13" t="s">
        <v>103</v>
      </c>
      <c r="D202" s="13" t="s">
        <v>69</v>
      </c>
      <c r="E202" s="13" t="s">
        <v>51</v>
      </c>
      <c r="F202" s="14" t="n">
        <v>58238</v>
      </c>
      <c r="G202" s="14" t="n">
        <v>76142</v>
      </c>
      <c r="H202" s="13" t="s">
        <v>52</v>
      </c>
      <c r="I202" s="14" t="n">
        <v>214172</v>
      </c>
      <c r="J202" s="14" t="n">
        <v>1540</v>
      </c>
      <c r="K202" s="14"/>
      <c r="L202" s="14"/>
      <c r="M202" s="14" t="n">
        <v>2</v>
      </c>
      <c r="N202" s="14" t="n">
        <v>378720</v>
      </c>
      <c r="O202" s="15"/>
      <c r="P202" s="13" t="s">
        <v>103</v>
      </c>
      <c r="Q202" s="13" t="s">
        <v>103</v>
      </c>
      <c r="R202" s="13" t="str">
        <f aca="false">TRIM(LEFT(A202,FIND("/",A202)-1))</f>
        <v>Traffic</v>
      </c>
      <c r="S202" s="13" t="str">
        <f aca="false">LEFT(C202,7)</f>
        <v>2026-08</v>
      </c>
    </row>
    <row r="203" customFormat="false" ht="15" hidden="false" customHeight="false" outlineLevel="0" collapsed="false">
      <c r="A203" s="13" t="s">
        <v>75</v>
      </c>
      <c r="B203" s="13" t="s">
        <v>77</v>
      </c>
      <c r="C203" s="13" t="s">
        <v>103</v>
      </c>
      <c r="D203" s="13" t="s">
        <v>69</v>
      </c>
      <c r="E203" s="13" t="s">
        <v>51</v>
      </c>
      <c r="F203" s="14" t="n">
        <v>2209</v>
      </c>
      <c r="G203" s="14" t="n">
        <v>2707</v>
      </c>
      <c r="H203" s="13" t="s">
        <v>52</v>
      </c>
      <c r="I203" s="14" t="n">
        <v>13893</v>
      </c>
      <c r="J203" s="14" t="n">
        <v>73</v>
      </c>
      <c r="K203" s="14"/>
      <c r="L203" s="14"/>
      <c r="M203" s="14"/>
      <c r="N203" s="14"/>
      <c r="O203" s="15"/>
      <c r="P203" s="13" t="s">
        <v>103</v>
      </c>
      <c r="Q203" s="13" t="s">
        <v>103</v>
      </c>
      <c r="R203" s="13" t="str">
        <f aca="false">TRIM(LEFT(A203,FIND("/",A203)-1))</f>
        <v>Traffic</v>
      </c>
      <c r="S203" s="13" t="str">
        <f aca="false">LEFT(C203,7)</f>
        <v>2026-08</v>
      </c>
    </row>
    <row r="204" customFormat="false" ht="15" hidden="false" customHeight="false" outlineLevel="0" collapsed="false">
      <c r="A204" s="13" t="s">
        <v>75</v>
      </c>
      <c r="B204" s="13" t="s">
        <v>79</v>
      </c>
      <c r="C204" s="13" t="s">
        <v>103</v>
      </c>
      <c r="D204" s="13" t="s">
        <v>69</v>
      </c>
      <c r="E204" s="13" t="s">
        <v>51</v>
      </c>
      <c r="F204" s="14" t="n">
        <v>25384</v>
      </c>
      <c r="G204" s="14" t="n">
        <v>28479</v>
      </c>
      <c r="H204" s="13" t="s">
        <v>52</v>
      </c>
      <c r="I204" s="14" t="n">
        <v>91999</v>
      </c>
      <c r="J204" s="14" t="n">
        <v>611</v>
      </c>
      <c r="K204" s="14"/>
      <c r="L204" s="14"/>
      <c r="M204" s="14" t="n">
        <v>3</v>
      </c>
      <c r="N204" s="14" t="n">
        <v>440553</v>
      </c>
      <c r="O204" s="15"/>
      <c r="P204" s="13" t="s">
        <v>103</v>
      </c>
      <c r="Q204" s="13" t="s">
        <v>103</v>
      </c>
      <c r="R204" s="13" t="str">
        <f aca="false">TRIM(LEFT(A204,FIND("/",A204)-1))</f>
        <v>Traffic</v>
      </c>
      <c r="S204" s="13" t="str">
        <f aca="false">LEFT(C204,7)</f>
        <v>2026-08</v>
      </c>
    </row>
    <row r="205" customFormat="false" ht="15" hidden="false" customHeight="false" outlineLevel="0" collapsed="false">
      <c r="A205" s="13" t="s">
        <v>66</v>
      </c>
      <c r="B205" s="13" t="s">
        <v>67</v>
      </c>
      <c r="C205" s="13" t="s">
        <v>104</v>
      </c>
      <c r="D205" s="13" t="s">
        <v>69</v>
      </c>
      <c r="E205" s="13" t="s">
        <v>51</v>
      </c>
      <c r="F205" s="14" t="n">
        <v>79425</v>
      </c>
      <c r="G205" s="14" t="n">
        <v>81151</v>
      </c>
      <c r="H205" s="13" t="s">
        <v>52</v>
      </c>
      <c r="I205" s="14" t="n">
        <v>102092</v>
      </c>
      <c r="J205" s="14" t="n">
        <v>18</v>
      </c>
      <c r="K205" s="14"/>
      <c r="L205" s="14"/>
      <c r="M205" s="14"/>
      <c r="N205" s="14"/>
      <c r="O205" s="15"/>
      <c r="P205" s="13" t="s">
        <v>104</v>
      </c>
      <c r="Q205" s="13" t="s">
        <v>104</v>
      </c>
      <c r="R205" s="13" t="str">
        <f aca="false">TRIM(LEFT(A205,FIND("/",A205)-1))</f>
        <v>Awareness</v>
      </c>
      <c r="S205" s="13" t="str">
        <f aca="false">LEFT(C205,7)</f>
        <v>2026-08</v>
      </c>
    </row>
    <row r="206" customFormat="false" ht="15" hidden="false" customHeight="false" outlineLevel="0" collapsed="false">
      <c r="A206" s="13" t="s">
        <v>66</v>
      </c>
      <c r="B206" s="13" t="s">
        <v>70</v>
      </c>
      <c r="C206" s="13" t="s">
        <v>104</v>
      </c>
      <c r="D206" s="13" t="s">
        <v>69</v>
      </c>
      <c r="E206" s="13" t="s">
        <v>51</v>
      </c>
      <c r="F206" s="14" t="n">
        <v>15263</v>
      </c>
      <c r="G206" s="14" t="n">
        <v>16209</v>
      </c>
      <c r="H206" s="13" t="s">
        <v>52</v>
      </c>
      <c r="I206" s="14" t="n">
        <v>20251</v>
      </c>
      <c r="J206" s="14" t="n">
        <v>4</v>
      </c>
      <c r="K206" s="14"/>
      <c r="L206" s="14"/>
      <c r="M206" s="14"/>
      <c r="N206" s="14"/>
      <c r="O206" s="15"/>
      <c r="P206" s="13" t="s">
        <v>104</v>
      </c>
      <c r="Q206" s="13" t="s">
        <v>104</v>
      </c>
      <c r="R206" s="13" t="str">
        <f aca="false">TRIM(LEFT(A206,FIND("/",A206)-1))</f>
        <v>Awareness</v>
      </c>
      <c r="S206" s="13" t="str">
        <f aca="false">LEFT(C206,7)</f>
        <v>2026-08</v>
      </c>
    </row>
    <row r="207" customFormat="false" ht="15" hidden="false" customHeight="false" outlineLevel="0" collapsed="false">
      <c r="A207" s="13" t="s">
        <v>66</v>
      </c>
      <c r="B207" s="13" t="s">
        <v>71</v>
      </c>
      <c r="C207" s="13" t="s">
        <v>104</v>
      </c>
      <c r="D207" s="13" t="s">
        <v>69</v>
      </c>
      <c r="E207" s="13" t="s">
        <v>51</v>
      </c>
      <c r="F207" s="14" t="n">
        <v>6601</v>
      </c>
      <c r="G207" s="14" t="n">
        <v>6650</v>
      </c>
      <c r="H207" s="13" t="s">
        <v>52</v>
      </c>
      <c r="I207" s="14" t="n">
        <v>8380</v>
      </c>
      <c r="J207" s="14" t="n">
        <v>2</v>
      </c>
      <c r="K207" s="14"/>
      <c r="L207" s="14"/>
      <c r="M207" s="14"/>
      <c r="N207" s="14"/>
      <c r="O207" s="15"/>
      <c r="P207" s="13" t="s">
        <v>104</v>
      </c>
      <c r="Q207" s="13" t="s">
        <v>104</v>
      </c>
      <c r="R207" s="13" t="str">
        <f aca="false">TRIM(LEFT(A207,FIND("/",A207)-1))</f>
        <v>Awareness</v>
      </c>
      <c r="S207" s="13" t="str">
        <f aca="false">LEFT(C207,7)</f>
        <v>2026-08</v>
      </c>
    </row>
    <row r="208" customFormat="false" ht="15" hidden="false" customHeight="false" outlineLevel="0" collapsed="false">
      <c r="A208" s="13" t="s">
        <v>73</v>
      </c>
      <c r="B208" s="13" t="s">
        <v>74</v>
      </c>
      <c r="C208" s="13" t="s">
        <v>104</v>
      </c>
      <c r="D208" s="13" t="s">
        <v>69</v>
      </c>
      <c r="E208" s="13" t="s">
        <v>51</v>
      </c>
      <c r="F208" s="14" t="n">
        <v>9925</v>
      </c>
      <c r="G208" s="14" t="n">
        <v>11273</v>
      </c>
      <c r="H208" s="13" t="s">
        <v>52</v>
      </c>
      <c r="I208" s="14" t="n">
        <v>240740</v>
      </c>
      <c r="J208" s="14" t="n">
        <v>250</v>
      </c>
      <c r="K208" s="14" t="n">
        <v>1</v>
      </c>
      <c r="L208" s="14" t="n">
        <v>170154</v>
      </c>
      <c r="M208" s="14" t="n">
        <v>29</v>
      </c>
      <c r="N208" s="14" t="n">
        <v>4803175</v>
      </c>
      <c r="O208" s="15" t="n">
        <v>0.70679571</v>
      </c>
      <c r="P208" s="13" t="s">
        <v>104</v>
      </c>
      <c r="Q208" s="13" t="s">
        <v>104</v>
      </c>
      <c r="R208" s="13" t="str">
        <f aca="false">TRIM(LEFT(A208,FIND("/",A208)-1))</f>
        <v>Sales</v>
      </c>
      <c r="S208" s="13" t="str">
        <f aca="false">LEFT(C208,7)</f>
        <v>2026-08</v>
      </c>
    </row>
    <row r="209" customFormat="false" ht="15" hidden="false" customHeight="false" outlineLevel="0" collapsed="false">
      <c r="A209" s="13" t="s">
        <v>93</v>
      </c>
      <c r="B209" s="13" t="s">
        <v>94</v>
      </c>
      <c r="C209" s="13" t="s">
        <v>104</v>
      </c>
      <c r="D209" s="13" t="s">
        <v>50</v>
      </c>
      <c r="E209" s="13" t="s">
        <v>51</v>
      </c>
      <c r="F209" s="14" t="n">
        <v>569</v>
      </c>
      <c r="G209" s="14" t="n">
        <v>1028</v>
      </c>
      <c r="H209" s="13" t="s">
        <v>52</v>
      </c>
      <c r="I209" s="14" t="n">
        <v>26656</v>
      </c>
      <c r="J209" s="14" t="n">
        <v>8</v>
      </c>
      <c r="K209" s="14"/>
      <c r="L209" s="14"/>
      <c r="M209" s="14" t="n">
        <v>4</v>
      </c>
      <c r="N209" s="14" t="n">
        <v>538007</v>
      </c>
      <c r="O209" s="15"/>
      <c r="P209" s="13" t="s">
        <v>104</v>
      </c>
      <c r="Q209" s="13" t="s">
        <v>104</v>
      </c>
      <c r="R209" s="13" t="str">
        <f aca="false">TRIM(LEFT(A209,FIND("/",A209)-1))</f>
        <v>Sales</v>
      </c>
      <c r="S209" s="13" t="str">
        <f aca="false">LEFT(C209,7)</f>
        <v>2026-08</v>
      </c>
    </row>
    <row r="210" customFormat="false" ht="15" hidden="false" customHeight="false" outlineLevel="0" collapsed="false">
      <c r="A210" s="13" t="s">
        <v>93</v>
      </c>
      <c r="B210" s="13" t="s">
        <v>95</v>
      </c>
      <c r="C210" s="13" t="s">
        <v>104</v>
      </c>
      <c r="D210" s="13" t="s">
        <v>50</v>
      </c>
      <c r="E210" s="13" t="s">
        <v>51</v>
      </c>
      <c r="F210" s="14" t="n">
        <v>2582</v>
      </c>
      <c r="G210" s="14" t="n">
        <v>4554</v>
      </c>
      <c r="H210" s="13" t="s">
        <v>52</v>
      </c>
      <c r="I210" s="14" t="n">
        <v>100479</v>
      </c>
      <c r="J210" s="14" t="n">
        <v>63</v>
      </c>
      <c r="K210" s="14"/>
      <c r="L210" s="14"/>
      <c r="M210" s="14" t="n">
        <v>4</v>
      </c>
      <c r="N210" s="14" t="n">
        <v>699318</v>
      </c>
      <c r="O210" s="15"/>
      <c r="P210" s="13" t="s">
        <v>104</v>
      </c>
      <c r="Q210" s="13" t="s">
        <v>104</v>
      </c>
      <c r="R210" s="13" t="str">
        <f aca="false">TRIM(LEFT(A210,FIND("/",A210)-1))</f>
        <v>Sales</v>
      </c>
      <c r="S210" s="13" t="str">
        <f aca="false">LEFT(C210,7)</f>
        <v>2026-08</v>
      </c>
    </row>
    <row r="211" customFormat="false" ht="15" hidden="false" customHeight="false" outlineLevel="0" collapsed="false">
      <c r="A211" s="13" t="s">
        <v>75</v>
      </c>
      <c r="B211" s="13" t="s">
        <v>76</v>
      </c>
      <c r="C211" s="13" t="s">
        <v>104</v>
      </c>
      <c r="D211" s="13" t="s">
        <v>69</v>
      </c>
      <c r="E211" s="13" t="s">
        <v>51</v>
      </c>
      <c r="F211" s="14" t="n">
        <v>52408</v>
      </c>
      <c r="G211" s="14" t="n">
        <v>66953</v>
      </c>
      <c r="H211" s="13" t="s">
        <v>52</v>
      </c>
      <c r="I211" s="14" t="n">
        <v>176548</v>
      </c>
      <c r="J211" s="14" t="n">
        <v>1183</v>
      </c>
      <c r="K211" s="14"/>
      <c r="L211" s="14"/>
      <c r="M211" s="14" t="n">
        <v>4</v>
      </c>
      <c r="N211" s="14" t="n">
        <v>642722</v>
      </c>
      <c r="O211" s="15"/>
      <c r="P211" s="13" t="s">
        <v>104</v>
      </c>
      <c r="Q211" s="13" t="s">
        <v>104</v>
      </c>
      <c r="R211" s="13" t="str">
        <f aca="false">TRIM(LEFT(A211,FIND("/",A211)-1))</f>
        <v>Traffic</v>
      </c>
      <c r="S211" s="13" t="str">
        <f aca="false">LEFT(C211,7)</f>
        <v>2026-08</v>
      </c>
    </row>
    <row r="212" customFormat="false" ht="15" hidden="false" customHeight="false" outlineLevel="0" collapsed="false">
      <c r="A212" s="13" t="s">
        <v>75</v>
      </c>
      <c r="B212" s="13" t="s">
        <v>77</v>
      </c>
      <c r="C212" s="13" t="s">
        <v>104</v>
      </c>
      <c r="D212" s="13" t="s">
        <v>69</v>
      </c>
      <c r="E212" s="13" t="s">
        <v>51</v>
      </c>
      <c r="F212" s="14" t="n">
        <v>3051</v>
      </c>
      <c r="G212" s="14" t="n">
        <v>3810</v>
      </c>
      <c r="H212" s="13" t="s">
        <v>52</v>
      </c>
      <c r="I212" s="14" t="n">
        <v>18803</v>
      </c>
      <c r="J212" s="14" t="n">
        <v>128</v>
      </c>
      <c r="K212" s="14"/>
      <c r="L212" s="14"/>
      <c r="M212" s="14" t="n">
        <v>1</v>
      </c>
      <c r="N212" s="14" t="n">
        <v>180113</v>
      </c>
      <c r="O212" s="15"/>
      <c r="P212" s="13" t="s">
        <v>104</v>
      </c>
      <c r="Q212" s="13" t="s">
        <v>104</v>
      </c>
      <c r="R212" s="13" t="str">
        <f aca="false">TRIM(LEFT(A212,FIND("/",A212)-1))</f>
        <v>Traffic</v>
      </c>
      <c r="S212" s="13" t="str">
        <f aca="false">LEFT(C212,7)</f>
        <v>2026-08</v>
      </c>
    </row>
    <row r="213" customFormat="false" ht="15" hidden="false" customHeight="false" outlineLevel="0" collapsed="false">
      <c r="A213" s="13" t="s">
        <v>75</v>
      </c>
      <c r="B213" s="13" t="s">
        <v>79</v>
      </c>
      <c r="C213" s="13" t="s">
        <v>104</v>
      </c>
      <c r="D213" s="13" t="s">
        <v>69</v>
      </c>
      <c r="E213" s="13" t="s">
        <v>51</v>
      </c>
      <c r="F213" s="14" t="n">
        <v>38259</v>
      </c>
      <c r="G213" s="14" t="n">
        <v>49490</v>
      </c>
      <c r="H213" s="13" t="s">
        <v>52</v>
      </c>
      <c r="I213" s="14" t="n">
        <v>151272</v>
      </c>
      <c r="J213" s="14" t="n">
        <v>977</v>
      </c>
      <c r="K213" s="14"/>
      <c r="L213" s="14"/>
      <c r="M213" s="14" t="n">
        <v>2</v>
      </c>
      <c r="N213" s="14" t="n">
        <v>356342</v>
      </c>
      <c r="O213" s="15"/>
      <c r="P213" s="13" t="s">
        <v>104</v>
      </c>
      <c r="Q213" s="13" t="s">
        <v>104</v>
      </c>
      <c r="R213" s="13" t="str">
        <f aca="false">TRIM(LEFT(A213,FIND("/",A213)-1))</f>
        <v>Traffic</v>
      </c>
      <c r="S213" s="13" t="str">
        <f aca="false">LEFT(C213,7)</f>
        <v>2026-08</v>
      </c>
    </row>
    <row r="214" customFormat="false" ht="15" hidden="false" customHeight="false" outlineLevel="0" collapsed="false">
      <c r="A214" s="13" t="s">
        <v>66</v>
      </c>
      <c r="B214" s="13" t="s">
        <v>67</v>
      </c>
      <c r="C214" s="13" t="s">
        <v>105</v>
      </c>
      <c r="D214" s="13" t="s">
        <v>69</v>
      </c>
      <c r="E214" s="13" t="s">
        <v>51</v>
      </c>
      <c r="F214" s="14" t="n">
        <v>91500</v>
      </c>
      <c r="G214" s="14" t="n">
        <v>92041</v>
      </c>
      <c r="H214" s="13" t="s">
        <v>52</v>
      </c>
      <c r="I214" s="14" t="n">
        <v>128029</v>
      </c>
      <c r="J214" s="14" t="n">
        <v>15</v>
      </c>
      <c r="K214" s="14"/>
      <c r="L214" s="14"/>
      <c r="M214" s="14" t="n">
        <v>1</v>
      </c>
      <c r="N214" s="14" t="n">
        <v>178171</v>
      </c>
      <c r="O214" s="15"/>
      <c r="P214" s="13" t="s">
        <v>105</v>
      </c>
      <c r="Q214" s="13" t="s">
        <v>105</v>
      </c>
      <c r="R214" s="13" t="str">
        <f aca="false">TRIM(LEFT(A214,FIND("/",A214)-1))</f>
        <v>Awareness</v>
      </c>
      <c r="S214" s="13" t="str">
        <f aca="false">LEFT(C214,7)</f>
        <v>2026-08</v>
      </c>
    </row>
    <row r="215" customFormat="false" ht="15" hidden="false" customHeight="false" outlineLevel="0" collapsed="false">
      <c r="A215" s="13" t="s">
        <v>66</v>
      </c>
      <c r="B215" s="13" t="s">
        <v>70</v>
      </c>
      <c r="C215" s="13" t="s">
        <v>105</v>
      </c>
      <c r="D215" s="13" t="s">
        <v>69</v>
      </c>
      <c r="E215" s="13" t="s">
        <v>51</v>
      </c>
      <c r="F215" s="14" t="n">
        <v>22139</v>
      </c>
      <c r="G215" s="14" t="n">
        <v>22139</v>
      </c>
      <c r="H215" s="13" t="s">
        <v>52</v>
      </c>
      <c r="I215" s="14" t="n">
        <v>30258</v>
      </c>
      <c r="J215" s="14" t="n">
        <v>2</v>
      </c>
      <c r="K215" s="14"/>
      <c r="L215" s="14"/>
      <c r="M215" s="14"/>
      <c r="N215" s="14"/>
      <c r="O215" s="15"/>
      <c r="P215" s="13" t="s">
        <v>105</v>
      </c>
      <c r="Q215" s="13" t="s">
        <v>105</v>
      </c>
      <c r="R215" s="13" t="str">
        <f aca="false">TRIM(LEFT(A215,FIND("/",A215)-1))</f>
        <v>Awareness</v>
      </c>
      <c r="S215" s="13" t="str">
        <f aca="false">LEFT(C215,7)</f>
        <v>2026-08</v>
      </c>
    </row>
    <row r="216" customFormat="false" ht="15" hidden="false" customHeight="false" outlineLevel="0" collapsed="false">
      <c r="A216" s="13" t="s">
        <v>66</v>
      </c>
      <c r="B216" s="13" t="s">
        <v>71</v>
      </c>
      <c r="C216" s="13" t="s">
        <v>105</v>
      </c>
      <c r="D216" s="13" t="s">
        <v>69</v>
      </c>
      <c r="E216" s="13" t="s">
        <v>51</v>
      </c>
      <c r="F216" s="14" t="n">
        <v>4770</v>
      </c>
      <c r="G216" s="14" t="n">
        <v>4770</v>
      </c>
      <c r="H216" s="13" t="s">
        <v>52</v>
      </c>
      <c r="I216" s="14" t="n">
        <v>6559</v>
      </c>
      <c r="J216" s="14" t="n">
        <v>1</v>
      </c>
      <c r="K216" s="14"/>
      <c r="L216" s="14"/>
      <c r="M216" s="14"/>
      <c r="N216" s="14"/>
      <c r="O216" s="15"/>
      <c r="P216" s="13" t="s">
        <v>105</v>
      </c>
      <c r="Q216" s="13" t="s">
        <v>105</v>
      </c>
      <c r="R216" s="13" t="str">
        <f aca="false">TRIM(LEFT(A216,FIND("/",A216)-1))</f>
        <v>Awareness</v>
      </c>
      <c r="S216" s="13" t="str">
        <f aca="false">LEFT(C216,7)</f>
        <v>2026-08</v>
      </c>
    </row>
    <row r="217" customFormat="false" ht="15" hidden="false" customHeight="false" outlineLevel="0" collapsed="false">
      <c r="A217" s="13" t="s">
        <v>73</v>
      </c>
      <c r="B217" s="13" t="s">
        <v>74</v>
      </c>
      <c r="C217" s="13" t="s">
        <v>105</v>
      </c>
      <c r="D217" s="13" t="s">
        <v>69</v>
      </c>
      <c r="E217" s="13" t="s">
        <v>51</v>
      </c>
      <c r="F217" s="14" t="n">
        <v>6031</v>
      </c>
      <c r="G217" s="14" t="n">
        <v>6724</v>
      </c>
      <c r="H217" s="13" t="s">
        <v>52</v>
      </c>
      <c r="I217" s="14" t="n">
        <v>161993</v>
      </c>
      <c r="J217" s="14" t="n">
        <v>159</v>
      </c>
      <c r="K217" s="14" t="n">
        <v>2</v>
      </c>
      <c r="L217" s="14" t="n">
        <v>333279</v>
      </c>
      <c r="M217" s="14" t="n">
        <v>20</v>
      </c>
      <c r="N217" s="14" t="n">
        <v>3435234</v>
      </c>
      <c r="O217" s="15" t="n">
        <v>2.05736668</v>
      </c>
      <c r="P217" s="13" t="s">
        <v>105</v>
      </c>
      <c r="Q217" s="13" t="s">
        <v>105</v>
      </c>
      <c r="R217" s="13" t="str">
        <f aca="false">TRIM(LEFT(A217,FIND("/",A217)-1))</f>
        <v>Sales</v>
      </c>
      <c r="S217" s="13" t="str">
        <f aca="false">LEFT(C217,7)</f>
        <v>2026-08</v>
      </c>
    </row>
    <row r="218" customFormat="false" ht="15" hidden="false" customHeight="false" outlineLevel="0" collapsed="false">
      <c r="A218" s="13" t="s">
        <v>93</v>
      </c>
      <c r="B218" s="13" t="s">
        <v>94</v>
      </c>
      <c r="C218" s="13" t="s">
        <v>105</v>
      </c>
      <c r="D218" s="13" t="s">
        <v>50</v>
      </c>
      <c r="E218" s="13" t="s">
        <v>51</v>
      </c>
      <c r="F218" s="14" t="n">
        <v>517</v>
      </c>
      <c r="G218" s="14" t="n">
        <v>922</v>
      </c>
      <c r="H218" s="13" t="s">
        <v>52</v>
      </c>
      <c r="I218" s="14" t="n">
        <v>31469</v>
      </c>
      <c r="J218" s="14" t="n">
        <v>6</v>
      </c>
      <c r="K218" s="14"/>
      <c r="L218" s="14"/>
      <c r="M218" s="14"/>
      <c r="N218" s="14"/>
      <c r="O218" s="15"/>
      <c r="P218" s="13" t="s">
        <v>105</v>
      </c>
      <c r="Q218" s="13" t="s">
        <v>105</v>
      </c>
      <c r="R218" s="13" t="str">
        <f aca="false">TRIM(LEFT(A218,FIND("/",A218)-1))</f>
        <v>Sales</v>
      </c>
      <c r="S218" s="13" t="str">
        <f aca="false">LEFT(C218,7)</f>
        <v>2026-08</v>
      </c>
    </row>
    <row r="219" customFormat="false" ht="15" hidden="false" customHeight="false" outlineLevel="0" collapsed="false">
      <c r="A219" s="13" t="s">
        <v>93</v>
      </c>
      <c r="B219" s="13" t="s">
        <v>95</v>
      </c>
      <c r="C219" s="13" t="s">
        <v>105</v>
      </c>
      <c r="D219" s="13" t="s">
        <v>50</v>
      </c>
      <c r="E219" s="13" t="s">
        <v>51</v>
      </c>
      <c r="F219" s="14" t="n">
        <v>2925</v>
      </c>
      <c r="G219" s="14" t="n">
        <v>4812</v>
      </c>
      <c r="H219" s="13" t="s">
        <v>52</v>
      </c>
      <c r="I219" s="14" t="n">
        <v>108107</v>
      </c>
      <c r="J219" s="14" t="n">
        <v>77</v>
      </c>
      <c r="K219" s="14"/>
      <c r="L219" s="14"/>
      <c r="M219" s="14" t="n">
        <v>7</v>
      </c>
      <c r="N219" s="14" t="n">
        <v>1033955</v>
      </c>
      <c r="O219" s="15"/>
      <c r="P219" s="13" t="s">
        <v>105</v>
      </c>
      <c r="Q219" s="13" t="s">
        <v>105</v>
      </c>
      <c r="R219" s="13" t="str">
        <f aca="false">TRIM(LEFT(A219,FIND("/",A219)-1))</f>
        <v>Sales</v>
      </c>
      <c r="S219" s="13" t="str">
        <f aca="false">LEFT(C219,7)</f>
        <v>2026-08</v>
      </c>
    </row>
    <row r="220" customFormat="false" ht="15" hidden="false" customHeight="false" outlineLevel="0" collapsed="false">
      <c r="A220" s="13" t="s">
        <v>75</v>
      </c>
      <c r="B220" s="13" t="s">
        <v>76</v>
      </c>
      <c r="C220" s="13" t="s">
        <v>105</v>
      </c>
      <c r="D220" s="13" t="s">
        <v>69</v>
      </c>
      <c r="E220" s="13" t="s">
        <v>51</v>
      </c>
      <c r="F220" s="14" t="n">
        <v>47285</v>
      </c>
      <c r="G220" s="14" t="n">
        <v>56651</v>
      </c>
      <c r="H220" s="13" t="s">
        <v>52</v>
      </c>
      <c r="I220" s="14" t="n">
        <v>187138</v>
      </c>
      <c r="J220" s="14" t="n">
        <v>1072</v>
      </c>
      <c r="K220" s="14"/>
      <c r="L220" s="14"/>
      <c r="M220" s="14" t="n">
        <v>2</v>
      </c>
      <c r="N220" s="14" t="n">
        <v>333535</v>
      </c>
      <c r="O220" s="15"/>
      <c r="P220" s="13" t="s">
        <v>105</v>
      </c>
      <c r="Q220" s="13" t="s">
        <v>105</v>
      </c>
      <c r="R220" s="13" t="str">
        <f aca="false">TRIM(LEFT(A220,FIND("/",A220)-1))</f>
        <v>Traffic</v>
      </c>
      <c r="S220" s="13" t="str">
        <f aca="false">LEFT(C220,7)</f>
        <v>2026-08</v>
      </c>
    </row>
    <row r="221" customFormat="false" ht="15" hidden="false" customHeight="false" outlineLevel="0" collapsed="false">
      <c r="A221" s="13" t="s">
        <v>75</v>
      </c>
      <c r="B221" s="13" t="s">
        <v>77</v>
      </c>
      <c r="C221" s="13" t="s">
        <v>105</v>
      </c>
      <c r="D221" s="13" t="s">
        <v>69</v>
      </c>
      <c r="E221" s="13" t="s">
        <v>51</v>
      </c>
      <c r="F221" s="14" t="n">
        <v>5755</v>
      </c>
      <c r="G221" s="14" t="n">
        <v>7662</v>
      </c>
      <c r="H221" s="13" t="s">
        <v>52</v>
      </c>
      <c r="I221" s="14" t="n">
        <v>41494</v>
      </c>
      <c r="J221" s="14" t="n">
        <v>194</v>
      </c>
      <c r="K221" s="14"/>
      <c r="L221" s="14"/>
      <c r="M221" s="14"/>
      <c r="N221" s="14"/>
      <c r="O221" s="15"/>
      <c r="P221" s="13" t="s">
        <v>105</v>
      </c>
      <c r="Q221" s="13" t="s">
        <v>105</v>
      </c>
      <c r="R221" s="13" t="str">
        <f aca="false">TRIM(LEFT(A221,FIND("/",A221)-1))</f>
        <v>Traffic</v>
      </c>
      <c r="S221" s="13" t="str">
        <f aca="false">LEFT(C221,7)</f>
        <v>2026-08</v>
      </c>
    </row>
    <row r="222" customFormat="false" ht="15" hidden="false" customHeight="false" outlineLevel="0" collapsed="false">
      <c r="A222" s="13" t="s">
        <v>75</v>
      </c>
      <c r="B222" s="13" t="s">
        <v>79</v>
      </c>
      <c r="C222" s="13" t="s">
        <v>105</v>
      </c>
      <c r="D222" s="13" t="s">
        <v>69</v>
      </c>
      <c r="E222" s="13" t="s">
        <v>51</v>
      </c>
      <c r="F222" s="14" t="n">
        <v>28448</v>
      </c>
      <c r="G222" s="14" t="n">
        <v>32795</v>
      </c>
      <c r="H222" s="13" t="s">
        <v>52</v>
      </c>
      <c r="I222" s="14" t="n">
        <v>115605</v>
      </c>
      <c r="J222" s="14" t="n">
        <v>693</v>
      </c>
      <c r="K222" s="14"/>
      <c r="L222" s="14"/>
      <c r="M222" s="14" t="n">
        <v>1</v>
      </c>
      <c r="N222" s="14" t="n">
        <v>132986</v>
      </c>
      <c r="O222" s="15"/>
      <c r="P222" s="13" t="s">
        <v>105</v>
      </c>
      <c r="Q222" s="13" t="s">
        <v>105</v>
      </c>
      <c r="R222" s="13" t="str">
        <f aca="false">TRIM(LEFT(A222,FIND("/",A222)-1))</f>
        <v>Traffic</v>
      </c>
      <c r="S222" s="13" t="str">
        <f aca="false">LEFT(C222,7)</f>
        <v>2026-08</v>
      </c>
    </row>
    <row r="223" customFormat="false" ht="15" hidden="false" customHeight="false" outlineLevel="0" collapsed="false">
      <c r="A223" s="13" t="s">
        <v>66</v>
      </c>
      <c r="B223" s="13" t="s">
        <v>67</v>
      </c>
      <c r="C223" s="13" t="s">
        <v>106</v>
      </c>
      <c r="D223" s="13" t="s">
        <v>69</v>
      </c>
      <c r="E223" s="13" t="s">
        <v>51</v>
      </c>
      <c r="F223" s="14" t="n">
        <v>98891</v>
      </c>
      <c r="G223" s="14" t="n">
        <v>98891</v>
      </c>
      <c r="H223" s="13" t="s">
        <v>52</v>
      </c>
      <c r="I223" s="14" t="n">
        <v>130822</v>
      </c>
      <c r="J223" s="14" t="n">
        <v>17</v>
      </c>
      <c r="K223" s="14"/>
      <c r="L223" s="14"/>
      <c r="M223" s="14"/>
      <c r="N223" s="14"/>
      <c r="O223" s="15"/>
      <c r="P223" s="13" t="s">
        <v>106</v>
      </c>
      <c r="Q223" s="13" t="s">
        <v>106</v>
      </c>
      <c r="R223" s="13" t="str">
        <f aca="false">TRIM(LEFT(A223,FIND("/",A223)-1))</f>
        <v>Awareness</v>
      </c>
      <c r="S223" s="13" t="str">
        <f aca="false">LEFT(C223,7)</f>
        <v>2026-08</v>
      </c>
    </row>
    <row r="224" customFormat="false" ht="15" hidden="false" customHeight="false" outlineLevel="0" collapsed="false">
      <c r="A224" s="13" t="s">
        <v>66</v>
      </c>
      <c r="B224" s="13" t="s">
        <v>70</v>
      </c>
      <c r="C224" s="13" t="s">
        <v>106</v>
      </c>
      <c r="D224" s="13" t="s">
        <v>69</v>
      </c>
      <c r="E224" s="13" t="s">
        <v>51</v>
      </c>
      <c r="F224" s="14" t="n">
        <v>21201</v>
      </c>
      <c r="G224" s="14" t="n">
        <v>21260</v>
      </c>
      <c r="H224" s="13" t="s">
        <v>52</v>
      </c>
      <c r="I224" s="14" t="n">
        <v>27519</v>
      </c>
      <c r="J224" s="14" t="n">
        <v>7</v>
      </c>
      <c r="K224" s="14"/>
      <c r="L224" s="14"/>
      <c r="M224" s="14"/>
      <c r="N224" s="14"/>
      <c r="O224" s="15"/>
      <c r="P224" s="13" t="s">
        <v>106</v>
      </c>
      <c r="Q224" s="13" t="s">
        <v>106</v>
      </c>
      <c r="R224" s="13" t="str">
        <f aca="false">TRIM(LEFT(A224,FIND("/",A224)-1))</f>
        <v>Awareness</v>
      </c>
      <c r="S224" s="13" t="str">
        <f aca="false">LEFT(C224,7)</f>
        <v>2026-08</v>
      </c>
    </row>
    <row r="225" customFormat="false" ht="15" hidden="false" customHeight="false" outlineLevel="0" collapsed="false">
      <c r="A225" s="13" t="s">
        <v>66</v>
      </c>
      <c r="B225" s="13" t="s">
        <v>71</v>
      </c>
      <c r="C225" s="13" t="s">
        <v>106</v>
      </c>
      <c r="D225" s="13" t="s">
        <v>69</v>
      </c>
      <c r="E225" s="13" t="s">
        <v>51</v>
      </c>
      <c r="F225" s="14" t="n">
        <v>3814</v>
      </c>
      <c r="G225" s="14" t="n">
        <v>3859</v>
      </c>
      <c r="H225" s="13" t="s">
        <v>52</v>
      </c>
      <c r="I225" s="14" t="n">
        <v>5173</v>
      </c>
      <c r="J225" s="14" t="n">
        <v>2</v>
      </c>
      <c r="K225" s="14"/>
      <c r="L225" s="14"/>
      <c r="M225" s="14"/>
      <c r="N225" s="14"/>
      <c r="O225" s="15"/>
      <c r="P225" s="13" t="s">
        <v>106</v>
      </c>
      <c r="Q225" s="13" t="s">
        <v>106</v>
      </c>
      <c r="R225" s="13" t="str">
        <f aca="false">TRIM(LEFT(A225,FIND("/",A225)-1))</f>
        <v>Awareness</v>
      </c>
      <c r="S225" s="13" t="str">
        <f aca="false">LEFT(C225,7)</f>
        <v>2026-08</v>
      </c>
    </row>
    <row r="226" customFormat="false" ht="15" hidden="false" customHeight="false" outlineLevel="0" collapsed="false">
      <c r="A226" s="13" t="s">
        <v>73</v>
      </c>
      <c r="B226" s="13" t="s">
        <v>74</v>
      </c>
      <c r="C226" s="13" t="s">
        <v>106</v>
      </c>
      <c r="D226" s="13" t="s">
        <v>69</v>
      </c>
      <c r="E226" s="13" t="s">
        <v>51</v>
      </c>
      <c r="F226" s="14" t="n">
        <v>9598</v>
      </c>
      <c r="G226" s="14" t="n">
        <v>10969</v>
      </c>
      <c r="H226" s="13" t="s">
        <v>52</v>
      </c>
      <c r="I226" s="14" t="n">
        <v>234730</v>
      </c>
      <c r="J226" s="14" t="n">
        <v>314</v>
      </c>
      <c r="K226" s="14" t="n">
        <v>1</v>
      </c>
      <c r="L226" s="14" t="n">
        <v>180113</v>
      </c>
      <c r="M226" s="14" t="n">
        <v>23</v>
      </c>
      <c r="N226" s="14" t="n">
        <v>4002741</v>
      </c>
      <c r="O226" s="15" t="n">
        <v>0.7673199</v>
      </c>
      <c r="P226" s="13" t="s">
        <v>106</v>
      </c>
      <c r="Q226" s="13" t="s">
        <v>106</v>
      </c>
      <c r="R226" s="13" t="str">
        <f aca="false">TRIM(LEFT(A226,FIND("/",A226)-1))</f>
        <v>Sales</v>
      </c>
      <c r="S226" s="13" t="str">
        <f aca="false">LEFT(C226,7)</f>
        <v>2026-08</v>
      </c>
    </row>
    <row r="227" customFormat="false" ht="15" hidden="false" customHeight="false" outlineLevel="0" collapsed="false">
      <c r="A227" s="13" t="s">
        <v>93</v>
      </c>
      <c r="B227" s="13" t="s">
        <v>94</v>
      </c>
      <c r="C227" s="13" t="s">
        <v>106</v>
      </c>
      <c r="D227" s="13" t="s">
        <v>50</v>
      </c>
      <c r="E227" s="13" t="s">
        <v>51</v>
      </c>
      <c r="F227" s="14" t="n">
        <v>595</v>
      </c>
      <c r="G227" s="14" t="n">
        <v>1016</v>
      </c>
      <c r="H227" s="13" t="s">
        <v>52</v>
      </c>
      <c r="I227" s="14" t="n">
        <v>29524</v>
      </c>
      <c r="J227" s="14" t="n">
        <v>17</v>
      </c>
      <c r="K227" s="14"/>
      <c r="L227" s="14"/>
      <c r="M227" s="14" t="n">
        <v>3</v>
      </c>
      <c r="N227" s="14" t="n">
        <v>529210</v>
      </c>
      <c r="O227" s="15"/>
      <c r="P227" s="13" t="s">
        <v>106</v>
      </c>
      <c r="Q227" s="13" t="s">
        <v>106</v>
      </c>
      <c r="R227" s="13" t="str">
        <f aca="false">TRIM(LEFT(A227,FIND("/",A227)-1))</f>
        <v>Sales</v>
      </c>
      <c r="S227" s="13" t="str">
        <f aca="false">LEFT(C227,7)</f>
        <v>2026-08</v>
      </c>
    </row>
    <row r="228" customFormat="false" ht="15" hidden="false" customHeight="false" outlineLevel="0" collapsed="false">
      <c r="A228" s="13" t="s">
        <v>93</v>
      </c>
      <c r="B228" s="13" t="s">
        <v>95</v>
      </c>
      <c r="C228" s="13" t="s">
        <v>106</v>
      </c>
      <c r="D228" s="13" t="s">
        <v>50</v>
      </c>
      <c r="E228" s="13" t="s">
        <v>51</v>
      </c>
      <c r="F228" s="14" t="n">
        <v>3587</v>
      </c>
      <c r="G228" s="14" t="n">
        <v>6533</v>
      </c>
      <c r="H228" s="13" t="s">
        <v>52</v>
      </c>
      <c r="I228" s="14" t="n">
        <v>151130</v>
      </c>
      <c r="J228" s="14" t="n">
        <v>116</v>
      </c>
      <c r="K228" s="14"/>
      <c r="L228" s="14"/>
      <c r="M228" s="14" t="n">
        <v>3</v>
      </c>
      <c r="N228" s="14" t="n">
        <v>533094</v>
      </c>
      <c r="O228" s="15"/>
      <c r="P228" s="13" t="s">
        <v>106</v>
      </c>
      <c r="Q228" s="13" t="s">
        <v>106</v>
      </c>
      <c r="R228" s="13" t="str">
        <f aca="false">TRIM(LEFT(A228,FIND("/",A228)-1))</f>
        <v>Sales</v>
      </c>
      <c r="S228" s="13" t="str">
        <f aca="false">LEFT(C228,7)</f>
        <v>2026-08</v>
      </c>
    </row>
    <row r="229" customFormat="false" ht="15" hidden="false" customHeight="false" outlineLevel="0" collapsed="false">
      <c r="A229" s="13" t="s">
        <v>75</v>
      </c>
      <c r="B229" s="13" t="s">
        <v>76</v>
      </c>
      <c r="C229" s="13" t="s">
        <v>106</v>
      </c>
      <c r="D229" s="13" t="s">
        <v>69</v>
      </c>
      <c r="E229" s="13" t="s">
        <v>51</v>
      </c>
      <c r="F229" s="14" t="n">
        <v>60864</v>
      </c>
      <c r="G229" s="14" t="n">
        <v>74401</v>
      </c>
      <c r="H229" s="13" t="s">
        <v>52</v>
      </c>
      <c r="I229" s="14" t="n">
        <v>248751</v>
      </c>
      <c r="J229" s="14" t="n">
        <v>1723</v>
      </c>
      <c r="K229" s="14"/>
      <c r="L229" s="14"/>
      <c r="M229" s="14" t="n">
        <v>3</v>
      </c>
      <c r="N229" s="14" t="n">
        <v>488556</v>
      </c>
      <c r="O229" s="15"/>
      <c r="P229" s="13" t="s">
        <v>106</v>
      </c>
      <c r="Q229" s="13" t="s">
        <v>106</v>
      </c>
      <c r="R229" s="13" t="str">
        <f aca="false">TRIM(LEFT(A229,FIND("/",A229)-1))</f>
        <v>Traffic</v>
      </c>
      <c r="S229" s="13" t="str">
        <f aca="false">LEFT(C229,7)</f>
        <v>2026-08</v>
      </c>
    </row>
    <row r="230" customFormat="false" ht="15" hidden="false" customHeight="false" outlineLevel="0" collapsed="false">
      <c r="A230" s="13" t="s">
        <v>75</v>
      </c>
      <c r="B230" s="13" t="s">
        <v>77</v>
      </c>
      <c r="C230" s="13" t="s">
        <v>106</v>
      </c>
      <c r="D230" s="13" t="s">
        <v>69</v>
      </c>
      <c r="E230" s="13" t="s">
        <v>51</v>
      </c>
      <c r="F230" s="14" t="n">
        <v>5355</v>
      </c>
      <c r="G230" s="14" t="n">
        <v>6467</v>
      </c>
      <c r="H230" s="13" t="s">
        <v>52</v>
      </c>
      <c r="I230" s="14" t="n">
        <v>30231</v>
      </c>
      <c r="J230" s="14" t="n">
        <v>195</v>
      </c>
      <c r="K230" s="14"/>
      <c r="L230" s="14"/>
      <c r="M230" s="14" t="n">
        <v>2</v>
      </c>
      <c r="N230" s="14" t="n">
        <v>265972</v>
      </c>
      <c r="O230" s="15"/>
      <c r="P230" s="13" t="s">
        <v>106</v>
      </c>
      <c r="Q230" s="13" t="s">
        <v>106</v>
      </c>
      <c r="R230" s="13" t="str">
        <f aca="false">TRIM(LEFT(A230,FIND("/",A230)-1))</f>
        <v>Traffic</v>
      </c>
      <c r="S230" s="13" t="str">
        <f aca="false">LEFT(C230,7)</f>
        <v>2026-08</v>
      </c>
    </row>
    <row r="231" customFormat="false" ht="15" hidden="false" customHeight="false" outlineLevel="0" collapsed="false">
      <c r="A231" s="13" t="s">
        <v>75</v>
      </c>
      <c r="B231" s="13" t="s">
        <v>79</v>
      </c>
      <c r="C231" s="13" t="s">
        <v>106</v>
      </c>
      <c r="D231" s="13" t="s">
        <v>69</v>
      </c>
      <c r="E231" s="13" t="s">
        <v>51</v>
      </c>
      <c r="F231" s="14" t="n">
        <v>20968</v>
      </c>
      <c r="G231" s="14" t="n">
        <v>24033</v>
      </c>
      <c r="H231" s="13" t="s">
        <v>52</v>
      </c>
      <c r="I231" s="14" t="n">
        <v>80585</v>
      </c>
      <c r="J231" s="14" t="n">
        <v>586</v>
      </c>
      <c r="K231" s="14"/>
      <c r="L231" s="14"/>
      <c r="M231" s="14" t="n">
        <v>2</v>
      </c>
      <c r="N231" s="14" t="n">
        <v>311157</v>
      </c>
      <c r="O231" s="15"/>
      <c r="P231" s="13" t="s">
        <v>106</v>
      </c>
      <c r="Q231" s="13" t="s">
        <v>106</v>
      </c>
      <c r="R231" s="13" t="str">
        <f aca="false">TRIM(LEFT(A231,FIND("/",A231)-1))</f>
        <v>Traffic</v>
      </c>
      <c r="S231" s="13" t="str">
        <f aca="false">LEFT(C231,7)</f>
        <v>2026-08</v>
      </c>
    </row>
    <row r="232" customFormat="false" ht="15" hidden="false" customHeight="false" outlineLevel="0" collapsed="false">
      <c r="A232" s="13" t="s">
        <v>66</v>
      </c>
      <c r="B232" s="13" t="s">
        <v>67</v>
      </c>
      <c r="C232" s="13" t="s">
        <v>107</v>
      </c>
      <c r="D232" s="13" t="s">
        <v>69</v>
      </c>
      <c r="E232" s="13" t="s">
        <v>51</v>
      </c>
      <c r="F232" s="14" t="n">
        <v>99907</v>
      </c>
      <c r="G232" s="14" t="n">
        <v>99907</v>
      </c>
      <c r="H232" s="13" t="s">
        <v>52</v>
      </c>
      <c r="I232" s="14" t="n">
        <v>127279</v>
      </c>
      <c r="J232" s="14" t="n">
        <v>28</v>
      </c>
      <c r="K232" s="14"/>
      <c r="L232" s="14"/>
      <c r="M232" s="14"/>
      <c r="N232" s="14"/>
      <c r="O232" s="15"/>
      <c r="P232" s="13" t="s">
        <v>107</v>
      </c>
      <c r="Q232" s="13" t="s">
        <v>107</v>
      </c>
      <c r="R232" s="13" t="str">
        <f aca="false">TRIM(LEFT(A232,FIND("/",A232)-1))</f>
        <v>Awareness</v>
      </c>
      <c r="S232" s="13" t="str">
        <f aca="false">LEFT(C232,7)</f>
        <v>2026-08</v>
      </c>
    </row>
    <row r="233" customFormat="false" ht="15" hidden="false" customHeight="false" outlineLevel="0" collapsed="false">
      <c r="A233" s="13" t="s">
        <v>66</v>
      </c>
      <c r="B233" s="13" t="s">
        <v>70</v>
      </c>
      <c r="C233" s="13" t="s">
        <v>107</v>
      </c>
      <c r="D233" s="13" t="s">
        <v>69</v>
      </c>
      <c r="E233" s="13" t="s">
        <v>51</v>
      </c>
      <c r="F233" s="14" t="n">
        <v>15025</v>
      </c>
      <c r="G233" s="14" t="n">
        <v>15025</v>
      </c>
      <c r="H233" s="13" t="s">
        <v>52</v>
      </c>
      <c r="I233" s="14" t="n">
        <v>19099</v>
      </c>
      <c r="J233" s="14" t="n">
        <v>5</v>
      </c>
      <c r="K233" s="14"/>
      <c r="L233" s="14"/>
      <c r="M233" s="14"/>
      <c r="N233" s="14"/>
      <c r="O233" s="15"/>
      <c r="P233" s="13" t="s">
        <v>107</v>
      </c>
      <c r="Q233" s="13" t="s">
        <v>107</v>
      </c>
      <c r="R233" s="13" t="str">
        <f aca="false">TRIM(LEFT(A233,FIND("/",A233)-1))</f>
        <v>Awareness</v>
      </c>
      <c r="S233" s="13" t="str">
        <f aca="false">LEFT(C233,7)</f>
        <v>2026-08</v>
      </c>
    </row>
    <row r="234" customFormat="false" ht="15" hidden="false" customHeight="false" outlineLevel="0" collapsed="false">
      <c r="A234" s="13" t="s">
        <v>66</v>
      </c>
      <c r="B234" s="13" t="s">
        <v>71</v>
      </c>
      <c r="C234" s="13" t="s">
        <v>107</v>
      </c>
      <c r="D234" s="13" t="s">
        <v>69</v>
      </c>
      <c r="E234" s="13" t="s">
        <v>51</v>
      </c>
      <c r="F234" s="14" t="n">
        <v>3481</v>
      </c>
      <c r="G234" s="14" t="n">
        <v>3567</v>
      </c>
      <c r="H234" s="13" t="s">
        <v>52</v>
      </c>
      <c r="I234" s="14" t="n">
        <v>4620</v>
      </c>
      <c r="J234" s="14" t="n">
        <v>3</v>
      </c>
      <c r="K234" s="14"/>
      <c r="L234" s="14"/>
      <c r="M234" s="14"/>
      <c r="N234" s="14"/>
      <c r="O234" s="15"/>
      <c r="P234" s="13" t="s">
        <v>107</v>
      </c>
      <c r="Q234" s="13" t="s">
        <v>107</v>
      </c>
      <c r="R234" s="13" t="str">
        <f aca="false">TRIM(LEFT(A234,FIND("/",A234)-1))</f>
        <v>Awareness</v>
      </c>
      <c r="S234" s="13" t="str">
        <f aca="false">LEFT(C234,7)</f>
        <v>2026-08</v>
      </c>
    </row>
    <row r="235" customFormat="false" ht="15" hidden="false" customHeight="false" outlineLevel="0" collapsed="false">
      <c r="A235" s="13" t="s">
        <v>73</v>
      </c>
      <c r="B235" s="13" t="s">
        <v>74</v>
      </c>
      <c r="C235" s="13" t="s">
        <v>107</v>
      </c>
      <c r="D235" s="13" t="s">
        <v>69</v>
      </c>
      <c r="E235" s="13" t="s">
        <v>51</v>
      </c>
      <c r="F235" s="14" t="n">
        <v>7060</v>
      </c>
      <c r="G235" s="14" t="n">
        <v>8204</v>
      </c>
      <c r="H235" s="13" t="s">
        <v>52</v>
      </c>
      <c r="I235" s="14" t="n">
        <v>156409</v>
      </c>
      <c r="J235" s="14" t="n">
        <v>211</v>
      </c>
      <c r="K235" s="14" t="n">
        <v>3</v>
      </c>
      <c r="L235" s="14" t="n">
        <v>492927</v>
      </c>
      <c r="M235" s="14" t="n">
        <v>24</v>
      </c>
      <c r="N235" s="14" t="n">
        <v>4136418</v>
      </c>
      <c r="O235" s="15" t="n">
        <v>3.15152581</v>
      </c>
      <c r="P235" s="13" t="s">
        <v>107</v>
      </c>
      <c r="Q235" s="13" t="s">
        <v>107</v>
      </c>
      <c r="R235" s="13" t="str">
        <f aca="false">TRIM(LEFT(A235,FIND("/",A235)-1))</f>
        <v>Sales</v>
      </c>
      <c r="S235" s="13" t="str">
        <f aca="false">LEFT(C235,7)</f>
        <v>2026-08</v>
      </c>
    </row>
    <row r="236" customFormat="false" ht="15" hidden="false" customHeight="false" outlineLevel="0" collapsed="false">
      <c r="A236" s="13" t="s">
        <v>93</v>
      </c>
      <c r="B236" s="13" t="s">
        <v>94</v>
      </c>
      <c r="C236" s="13" t="s">
        <v>107</v>
      </c>
      <c r="D236" s="13" t="s">
        <v>50</v>
      </c>
      <c r="E236" s="13" t="s">
        <v>51</v>
      </c>
      <c r="F236" s="14" t="n">
        <v>433</v>
      </c>
      <c r="G236" s="14" t="n">
        <v>668</v>
      </c>
      <c r="H236" s="13" t="s">
        <v>52</v>
      </c>
      <c r="I236" s="14" t="n">
        <v>17298</v>
      </c>
      <c r="J236" s="14" t="n">
        <v>2</v>
      </c>
      <c r="K236" s="14"/>
      <c r="L236" s="14"/>
      <c r="M236" s="14"/>
      <c r="N236" s="14"/>
      <c r="O236" s="15"/>
      <c r="P236" s="13" t="s">
        <v>107</v>
      </c>
      <c r="Q236" s="13" t="s">
        <v>107</v>
      </c>
      <c r="R236" s="13" t="str">
        <f aca="false">TRIM(LEFT(A236,FIND("/",A236)-1))</f>
        <v>Sales</v>
      </c>
      <c r="S236" s="13" t="str">
        <f aca="false">LEFT(C236,7)</f>
        <v>2026-08</v>
      </c>
    </row>
    <row r="237" customFormat="false" ht="15" hidden="false" customHeight="false" outlineLevel="0" collapsed="false">
      <c r="A237" s="13" t="s">
        <v>93</v>
      </c>
      <c r="B237" s="13" t="s">
        <v>95</v>
      </c>
      <c r="C237" s="13" t="s">
        <v>107</v>
      </c>
      <c r="D237" s="13" t="s">
        <v>50</v>
      </c>
      <c r="E237" s="13" t="s">
        <v>51</v>
      </c>
      <c r="F237" s="14" t="n">
        <v>3683</v>
      </c>
      <c r="G237" s="14" t="n">
        <v>6571</v>
      </c>
      <c r="H237" s="13" t="s">
        <v>52</v>
      </c>
      <c r="I237" s="14" t="n">
        <v>115391</v>
      </c>
      <c r="J237" s="14" t="n">
        <v>85</v>
      </c>
      <c r="K237" s="14"/>
      <c r="L237" s="14"/>
      <c r="M237" s="14" t="n">
        <v>1</v>
      </c>
      <c r="N237" s="14" t="n">
        <v>172868</v>
      </c>
      <c r="O237" s="15"/>
      <c r="P237" s="13" t="s">
        <v>107</v>
      </c>
      <c r="Q237" s="13" t="s">
        <v>107</v>
      </c>
      <c r="R237" s="13" t="str">
        <f aca="false">TRIM(LEFT(A237,FIND("/",A237)-1))</f>
        <v>Sales</v>
      </c>
      <c r="S237" s="13" t="str">
        <f aca="false">LEFT(C237,7)</f>
        <v>2026-08</v>
      </c>
    </row>
    <row r="238" customFormat="false" ht="15" hidden="false" customHeight="false" outlineLevel="0" collapsed="false">
      <c r="A238" s="13" t="s">
        <v>75</v>
      </c>
      <c r="B238" s="13" t="s">
        <v>76</v>
      </c>
      <c r="C238" s="13" t="s">
        <v>107</v>
      </c>
      <c r="D238" s="13" t="s">
        <v>69</v>
      </c>
      <c r="E238" s="13" t="s">
        <v>51</v>
      </c>
      <c r="F238" s="14" t="n">
        <v>50433</v>
      </c>
      <c r="G238" s="14" t="n">
        <v>59415</v>
      </c>
      <c r="H238" s="13" t="s">
        <v>52</v>
      </c>
      <c r="I238" s="14" t="n">
        <v>181742</v>
      </c>
      <c r="J238" s="14" t="n">
        <v>1310</v>
      </c>
      <c r="K238" s="14"/>
      <c r="L238" s="14"/>
      <c r="M238" s="14" t="n">
        <v>1</v>
      </c>
      <c r="N238" s="14" t="n">
        <v>81369</v>
      </c>
      <c r="O238" s="15"/>
      <c r="P238" s="13" t="s">
        <v>107</v>
      </c>
      <c r="Q238" s="13" t="s">
        <v>107</v>
      </c>
      <c r="R238" s="13" t="str">
        <f aca="false">TRIM(LEFT(A238,FIND("/",A238)-1))</f>
        <v>Traffic</v>
      </c>
      <c r="S238" s="13" t="str">
        <f aca="false">LEFT(C238,7)</f>
        <v>2026-08</v>
      </c>
    </row>
    <row r="239" customFormat="false" ht="15" hidden="false" customHeight="false" outlineLevel="0" collapsed="false">
      <c r="A239" s="13" t="s">
        <v>75</v>
      </c>
      <c r="B239" s="13" t="s">
        <v>77</v>
      </c>
      <c r="C239" s="13" t="s">
        <v>107</v>
      </c>
      <c r="D239" s="13" t="s">
        <v>69</v>
      </c>
      <c r="E239" s="13" t="s">
        <v>51</v>
      </c>
      <c r="F239" s="14" t="n">
        <v>8628</v>
      </c>
      <c r="G239" s="14" t="n">
        <v>11214</v>
      </c>
      <c r="H239" s="13" t="s">
        <v>52</v>
      </c>
      <c r="I239" s="14" t="n">
        <v>47506</v>
      </c>
      <c r="J239" s="14" t="n">
        <v>300</v>
      </c>
      <c r="K239" s="14"/>
      <c r="L239" s="14"/>
      <c r="M239" s="14" t="n">
        <v>2</v>
      </c>
      <c r="N239" s="14" t="n">
        <v>305854</v>
      </c>
      <c r="O239" s="15"/>
      <c r="P239" s="13" t="s">
        <v>107</v>
      </c>
      <c r="Q239" s="13" t="s">
        <v>107</v>
      </c>
      <c r="R239" s="13" t="str">
        <f aca="false">TRIM(LEFT(A239,FIND("/",A239)-1))</f>
        <v>Traffic</v>
      </c>
      <c r="S239" s="13" t="str">
        <f aca="false">LEFT(C239,7)</f>
        <v>2026-08</v>
      </c>
    </row>
    <row r="240" customFormat="false" ht="15" hidden="false" customHeight="false" outlineLevel="0" collapsed="false">
      <c r="A240" s="13" t="s">
        <v>75</v>
      </c>
      <c r="B240" s="13" t="s">
        <v>79</v>
      </c>
      <c r="C240" s="13" t="s">
        <v>107</v>
      </c>
      <c r="D240" s="13" t="s">
        <v>69</v>
      </c>
      <c r="E240" s="13" t="s">
        <v>51</v>
      </c>
      <c r="F240" s="14" t="n">
        <v>21780</v>
      </c>
      <c r="G240" s="14" t="n">
        <v>26103</v>
      </c>
      <c r="H240" s="13" t="s">
        <v>52</v>
      </c>
      <c r="I240" s="14" t="n">
        <v>81313</v>
      </c>
      <c r="J240" s="14" t="n">
        <v>620</v>
      </c>
      <c r="K240" s="14"/>
      <c r="L240" s="14"/>
      <c r="M240" s="14"/>
      <c r="N240" s="14"/>
      <c r="O240" s="15"/>
      <c r="P240" s="13" t="s">
        <v>107</v>
      </c>
      <c r="Q240" s="13" t="s">
        <v>107</v>
      </c>
      <c r="R240" s="13" t="str">
        <f aca="false">TRIM(LEFT(A240,FIND("/",A240)-1))</f>
        <v>Traffic</v>
      </c>
      <c r="S240" s="13" t="str">
        <f aca="false">LEFT(C240,7)</f>
        <v>2026-08</v>
      </c>
    </row>
    <row r="241" customFormat="false" ht="15" hidden="false" customHeight="false" outlineLevel="0" collapsed="false">
      <c r="A241" s="13" t="s">
        <v>66</v>
      </c>
      <c r="B241" s="13" t="s">
        <v>67</v>
      </c>
      <c r="C241" s="13" t="s">
        <v>108</v>
      </c>
      <c r="D241" s="13" t="s">
        <v>69</v>
      </c>
      <c r="E241" s="13" t="s">
        <v>51</v>
      </c>
      <c r="F241" s="14" t="n">
        <v>85224</v>
      </c>
      <c r="G241" s="14" t="n">
        <v>85224</v>
      </c>
      <c r="H241" s="13" t="s">
        <v>52</v>
      </c>
      <c r="I241" s="14" t="n">
        <v>109056</v>
      </c>
      <c r="J241" s="14" t="n">
        <v>26</v>
      </c>
      <c r="K241" s="14"/>
      <c r="L241" s="14"/>
      <c r="M241" s="14"/>
      <c r="N241" s="14"/>
      <c r="O241" s="15"/>
      <c r="P241" s="13" t="s">
        <v>108</v>
      </c>
      <c r="Q241" s="13" t="s">
        <v>108</v>
      </c>
      <c r="R241" s="13" t="str">
        <f aca="false">TRIM(LEFT(A241,FIND("/",A241)-1))</f>
        <v>Awareness</v>
      </c>
      <c r="S241" s="13" t="str">
        <f aca="false">LEFT(C241,7)</f>
        <v>2026-08</v>
      </c>
    </row>
    <row r="242" customFormat="false" ht="15" hidden="false" customHeight="false" outlineLevel="0" collapsed="false">
      <c r="A242" s="13" t="s">
        <v>66</v>
      </c>
      <c r="B242" s="13" t="s">
        <v>70</v>
      </c>
      <c r="C242" s="13" t="s">
        <v>108</v>
      </c>
      <c r="D242" s="13" t="s">
        <v>69</v>
      </c>
      <c r="E242" s="13" t="s">
        <v>51</v>
      </c>
      <c r="F242" s="14" t="n">
        <v>28841</v>
      </c>
      <c r="G242" s="14" t="n">
        <v>28841</v>
      </c>
      <c r="H242" s="13" t="s">
        <v>52</v>
      </c>
      <c r="I242" s="14" t="n">
        <v>35988</v>
      </c>
      <c r="J242" s="14" t="n">
        <v>7</v>
      </c>
      <c r="K242" s="14"/>
      <c r="L242" s="14"/>
      <c r="M242" s="14"/>
      <c r="N242" s="14"/>
      <c r="O242" s="15"/>
      <c r="P242" s="13" t="s">
        <v>108</v>
      </c>
      <c r="Q242" s="13" t="s">
        <v>108</v>
      </c>
      <c r="R242" s="13" t="str">
        <f aca="false">TRIM(LEFT(A242,FIND("/",A242)-1))</f>
        <v>Awareness</v>
      </c>
      <c r="S242" s="13" t="str">
        <f aca="false">LEFT(C242,7)</f>
        <v>2026-08</v>
      </c>
    </row>
    <row r="243" customFormat="false" ht="15" hidden="false" customHeight="false" outlineLevel="0" collapsed="false">
      <c r="A243" s="13" t="s">
        <v>66</v>
      </c>
      <c r="B243" s="13" t="s">
        <v>71</v>
      </c>
      <c r="C243" s="13" t="s">
        <v>108</v>
      </c>
      <c r="D243" s="13" t="s">
        <v>69</v>
      </c>
      <c r="E243" s="13" t="s">
        <v>51</v>
      </c>
      <c r="F243" s="14" t="n">
        <v>6035</v>
      </c>
      <c r="G243" s="14" t="n">
        <v>6213</v>
      </c>
      <c r="H243" s="13" t="s">
        <v>52</v>
      </c>
      <c r="I243" s="14" t="n">
        <v>7830</v>
      </c>
      <c r="J243" s="14" t="n">
        <v>8</v>
      </c>
      <c r="K243" s="14"/>
      <c r="L243" s="14"/>
      <c r="M243" s="14"/>
      <c r="N243" s="14"/>
      <c r="O243" s="15"/>
      <c r="P243" s="13" t="s">
        <v>108</v>
      </c>
      <c r="Q243" s="13" t="s">
        <v>108</v>
      </c>
      <c r="R243" s="13" t="str">
        <f aca="false">TRIM(LEFT(A243,FIND("/",A243)-1))</f>
        <v>Awareness</v>
      </c>
      <c r="S243" s="13" t="str">
        <f aca="false">LEFT(C243,7)</f>
        <v>2026-08</v>
      </c>
    </row>
    <row r="244" customFormat="false" ht="15" hidden="false" customHeight="false" outlineLevel="0" collapsed="false">
      <c r="A244" s="13" t="s">
        <v>73</v>
      </c>
      <c r="B244" s="13" t="s">
        <v>74</v>
      </c>
      <c r="C244" s="13" t="s">
        <v>108</v>
      </c>
      <c r="D244" s="13" t="s">
        <v>69</v>
      </c>
      <c r="E244" s="13" t="s">
        <v>51</v>
      </c>
      <c r="F244" s="14" t="n">
        <v>10512</v>
      </c>
      <c r="G244" s="14" t="n">
        <v>12261</v>
      </c>
      <c r="H244" s="13" t="s">
        <v>52</v>
      </c>
      <c r="I244" s="14" t="n">
        <v>239412</v>
      </c>
      <c r="J244" s="14" t="n">
        <v>359</v>
      </c>
      <c r="K244" s="14" t="n">
        <v>2</v>
      </c>
      <c r="L244" s="14" t="n">
        <v>321153</v>
      </c>
      <c r="M244" s="14" t="n">
        <v>35</v>
      </c>
      <c r="N244" s="14" t="n">
        <v>5812331</v>
      </c>
      <c r="O244" s="15" t="n">
        <v>1.34142399</v>
      </c>
      <c r="P244" s="13" t="s">
        <v>108</v>
      </c>
      <c r="Q244" s="13" t="s">
        <v>108</v>
      </c>
      <c r="R244" s="13" t="str">
        <f aca="false">TRIM(LEFT(A244,FIND("/",A244)-1))</f>
        <v>Sales</v>
      </c>
      <c r="S244" s="13" t="str">
        <f aca="false">LEFT(C244,7)</f>
        <v>2026-08</v>
      </c>
    </row>
    <row r="245" customFormat="false" ht="15" hidden="false" customHeight="false" outlineLevel="0" collapsed="false">
      <c r="A245" s="13" t="s">
        <v>93</v>
      </c>
      <c r="B245" s="13" t="s">
        <v>94</v>
      </c>
      <c r="C245" s="13" t="s">
        <v>108</v>
      </c>
      <c r="D245" s="13" t="s">
        <v>50</v>
      </c>
      <c r="E245" s="13" t="s">
        <v>51</v>
      </c>
      <c r="F245" s="14" t="n">
        <v>324</v>
      </c>
      <c r="G245" s="14" t="n">
        <v>769</v>
      </c>
      <c r="H245" s="13" t="s">
        <v>52</v>
      </c>
      <c r="I245" s="14" t="n">
        <v>26007</v>
      </c>
      <c r="J245" s="14" t="n">
        <v>9</v>
      </c>
      <c r="K245" s="14"/>
      <c r="L245" s="14"/>
      <c r="M245" s="14"/>
      <c r="N245" s="14"/>
      <c r="O245" s="15"/>
      <c r="P245" s="13" t="s">
        <v>108</v>
      </c>
      <c r="Q245" s="13" t="s">
        <v>108</v>
      </c>
      <c r="R245" s="13" t="str">
        <f aca="false">TRIM(LEFT(A245,FIND("/",A245)-1))</f>
        <v>Sales</v>
      </c>
      <c r="S245" s="13" t="str">
        <f aca="false">LEFT(C245,7)</f>
        <v>2026-08</v>
      </c>
    </row>
    <row r="246" customFormat="false" ht="15" hidden="false" customHeight="false" outlineLevel="0" collapsed="false">
      <c r="A246" s="13" t="s">
        <v>93</v>
      </c>
      <c r="B246" s="13" t="s">
        <v>95</v>
      </c>
      <c r="C246" s="13" t="s">
        <v>108</v>
      </c>
      <c r="D246" s="13" t="s">
        <v>50</v>
      </c>
      <c r="E246" s="13" t="s">
        <v>51</v>
      </c>
      <c r="F246" s="14" t="n">
        <v>4425</v>
      </c>
      <c r="G246" s="14" t="n">
        <v>8368</v>
      </c>
      <c r="H246" s="13" t="s">
        <v>52</v>
      </c>
      <c r="I246" s="14" t="n">
        <v>129491</v>
      </c>
      <c r="J246" s="14" t="n">
        <v>125</v>
      </c>
      <c r="K246" s="14"/>
      <c r="L246" s="14"/>
      <c r="M246" s="14" t="n">
        <v>9</v>
      </c>
      <c r="N246" s="14" t="n">
        <v>1486859</v>
      </c>
      <c r="O246" s="15"/>
      <c r="P246" s="13" t="s">
        <v>108</v>
      </c>
      <c r="Q246" s="13" t="s">
        <v>108</v>
      </c>
      <c r="R246" s="13" t="str">
        <f aca="false">TRIM(LEFT(A246,FIND("/",A246)-1))</f>
        <v>Sales</v>
      </c>
      <c r="S246" s="13" t="str">
        <f aca="false">LEFT(C246,7)</f>
        <v>2026-08</v>
      </c>
    </row>
    <row r="247" customFormat="false" ht="15" hidden="false" customHeight="false" outlineLevel="0" collapsed="false">
      <c r="A247" s="13" t="s">
        <v>75</v>
      </c>
      <c r="B247" s="13" t="s">
        <v>76</v>
      </c>
      <c r="C247" s="13" t="s">
        <v>108</v>
      </c>
      <c r="D247" s="13" t="s">
        <v>69</v>
      </c>
      <c r="E247" s="13" t="s">
        <v>51</v>
      </c>
      <c r="F247" s="14" t="n">
        <v>42942</v>
      </c>
      <c r="G247" s="14" t="n">
        <v>53969</v>
      </c>
      <c r="H247" s="13" t="s">
        <v>52</v>
      </c>
      <c r="I247" s="14" t="n">
        <v>160457</v>
      </c>
      <c r="J247" s="14" t="n">
        <v>1161</v>
      </c>
      <c r="K247" s="14"/>
      <c r="L247" s="14"/>
      <c r="M247" s="14" t="n">
        <v>3</v>
      </c>
      <c r="N247" s="14" t="n">
        <v>553530</v>
      </c>
      <c r="O247" s="15"/>
      <c r="P247" s="13" t="s">
        <v>108</v>
      </c>
      <c r="Q247" s="13" t="s">
        <v>108</v>
      </c>
      <c r="R247" s="13" t="str">
        <f aca="false">TRIM(LEFT(A247,FIND("/",A247)-1))</f>
        <v>Traffic</v>
      </c>
      <c r="S247" s="13" t="str">
        <f aca="false">LEFT(C247,7)</f>
        <v>2026-08</v>
      </c>
    </row>
    <row r="248" customFormat="false" ht="15" hidden="false" customHeight="false" outlineLevel="0" collapsed="false">
      <c r="A248" s="13" t="s">
        <v>75</v>
      </c>
      <c r="B248" s="13" t="s">
        <v>77</v>
      </c>
      <c r="C248" s="13" t="s">
        <v>108</v>
      </c>
      <c r="D248" s="13" t="s">
        <v>69</v>
      </c>
      <c r="E248" s="13" t="s">
        <v>51</v>
      </c>
      <c r="F248" s="14" t="n">
        <v>6069</v>
      </c>
      <c r="G248" s="14" t="n">
        <v>7532</v>
      </c>
      <c r="H248" s="13" t="s">
        <v>52</v>
      </c>
      <c r="I248" s="14" t="n">
        <v>32002</v>
      </c>
      <c r="J248" s="14" t="n">
        <v>220</v>
      </c>
      <c r="K248" s="14"/>
      <c r="L248" s="14"/>
      <c r="M248" s="14" t="n">
        <v>2</v>
      </c>
      <c r="N248" s="14" t="n">
        <v>311157</v>
      </c>
      <c r="O248" s="15"/>
      <c r="P248" s="13" t="s">
        <v>108</v>
      </c>
      <c r="Q248" s="13" t="s">
        <v>108</v>
      </c>
      <c r="R248" s="13" t="str">
        <f aca="false">TRIM(LEFT(A248,FIND("/",A248)-1))</f>
        <v>Traffic</v>
      </c>
      <c r="S248" s="13" t="str">
        <f aca="false">LEFT(C248,7)</f>
        <v>2026-08</v>
      </c>
    </row>
    <row r="249" customFormat="false" ht="15" hidden="false" customHeight="false" outlineLevel="0" collapsed="false">
      <c r="A249" s="13" t="s">
        <v>75</v>
      </c>
      <c r="B249" s="13" t="s">
        <v>79</v>
      </c>
      <c r="C249" s="13" t="s">
        <v>108</v>
      </c>
      <c r="D249" s="13" t="s">
        <v>69</v>
      </c>
      <c r="E249" s="13" t="s">
        <v>51</v>
      </c>
      <c r="F249" s="14" t="n">
        <v>24477</v>
      </c>
      <c r="G249" s="14" t="n">
        <v>28173</v>
      </c>
      <c r="H249" s="13" t="s">
        <v>52</v>
      </c>
      <c r="I249" s="14" t="n">
        <v>80809</v>
      </c>
      <c r="J249" s="14" t="n">
        <v>641</v>
      </c>
      <c r="K249" s="14"/>
      <c r="L249" s="14"/>
      <c r="M249" s="14" t="n">
        <v>1</v>
      </c>
      <c r="N249" s="14" t="n">
        <v>180113</v>
      </c>
      <c r="O249" s="15"/>
      <c r="P249" s="13" t="s">
        <v>108</v>
      </c>
      <c r="Q249" s="13" t="s">
        <v>108</v>
      </c>
      <c r="R249" s="13" t="str">
        <f aca="false">TRIM(LEFT(A249,FIND("/",A249)-1))</f>
        <v>Traffic</v>
      </c>
      <c r="S249" s="13" t="str">
        <f aca="false">LEFT(C249,7)</f>
        <v>2026-08</v>
      </c>
    </row>
    <row r="250" customFormat="false" ht="15" hidden="false" customHeight="false" outlineLevel="0" collapsed="false">
      <c r="A250" s="13" t="s">
        <v>66</v>
      </c>
      <c r="B250" s="13" t="s">
        <v>67</v>
      </c>
      <c r="C250" s="13" t="s">
        <v>109</v>
      </c>
      <c r="D250" s="13" t="s">
        <v>69</v>
      </c>
      <c r="E250" s="13" t="s">
        <v>51</v>
      </c>
      <c r="F250" s="14" t="n">
        <v>89741</v>
      </c>
      <c r="G250" s="14" t="n">
        <v>93256</v>
      </c>
      <c r="H250" s="13" t="s">
        <v>52</v>
      </c>
      <c r="I250" s="14" t="n">
        <v>117640</v>
      </c>
      <c r="J250" s="14" t="n">
        <v>27</v>
      </c>
      <c r="K250" s="14"/>
      <c r="L250" s="14"/>
      <c r="M250" s="14"/>
      <c r="N250" s="14"/>
      <c r="O250" s="15"/>
      <c r="P250" s="13" t="s">
        <v>109</v>
      </c>
      <c r="Q250" s="13" t="s">
        <v>109</v>
      </c>
      <c r="R250" s="13" t="str">
        <f aca="false">TRIM(LEFT(A250,FIND("/",A250)-1))</f>
        <v>Awareness</v>
      </c>
      <c r="S250" s="13" t="str">
        <f aca="false">LEFT(C250,7)</f>
        <v>2026-08</v>
      </c>
    </row>
    <row r="251" customFormat="false" ht="15" hidden="false" customHeight="false" outlineLevel="0" collapsed="false">
      <c r="A251" s="13" t="s">
        <v>66</v>
      </c>
      <c r="B251" s="13" t="s">
        <v>70</v>
      </c>
      <c r="C251" s="13" t="s">
        <v>109</v>
      </c>
      <c r="D251" s="13" t="s">
        <v>69</v>
      </c>
      <c r="E251" s="13" t="s">
        <v>51</v>
      </c>
      <c r="F251" s="14" t="n">
        <v>18370</v>
      </c>
      <c r="G251" s="14" t="n">
        <v>18552</v>
      </c>
      <c r="H251" s="13" t="s">
        <v>52</v>
      </c>
      <c r="I251" s="14" t="n">
        <v>23128</v>
      </c>
      <c r="J251" s="14" t="n">
        <v>9</v>
      </c>
      <c r="K251" s="14"/>
      <c r="L251" s="14"/>
      <c r="M251" s="14" t="n">
        <v>1</v>
      </c>
      <c r="N251" s="14" t="n">
        <v>97659</v>
      </c>
      <c r="O251" s="15"/>
      <c r="P251" s="13" t="s">
        <v>109</v>
      </c>
      <c r="Q251" s="13" t="s">
        <v>109</v>
      </c>
      <c r="R251" s="13" t="str">
        <f aca="false">TRIM(LEFT(A251,FIND("/",A251)-1))</f>
        <v>Awareness</v>
      </c>
      <c r="S251" s="13" t="str">
        <f aca="false">LEFT(C251,7)</f>
        <v>2026-08</v>
      </c>
    </row>
    <row r="252" customFormat="false" ht="15" hidden="false" customHeight="false" outlineLevel="0" collapsed="false">
      <c r="A252" s="13" t="s">
        <v>66</v>
      </c>
      <c r="B252" s="13" t="s">
        <v>71</v>
      </c>
      <c r="C252" s="13" t="s">
        <v>109</v>
      </c>
      <c r="D252" s="13" t="s">
        <v>69</v>
      </c>
      <c r="E252" s="13" t="s">
        <v>51</v>
      </c>
      <c r="F252" s="14" t="n">
        <v>7903</v>
      </c>
      <c r="G252" s="14" t="n">
        <v>8108</v>
      </c>
      <c r="H252" s="13" t="s">
        <v>52</v>
      </c>
      <c r="I252" s="14" t="n">
        <v>10156</v>
      </c>
      <c r="J252" s="14" t="n">
        <v>5</v>
      </c>
      <c r="K252" s="14"/>
      <c r="L252" s="14"/>
      <c r="M252" s="14"/>
      <c r="N252" s="14"/>
      <c r="O252" s="15"/>
      <c r="P252" s="13" t="s">
        <v>109</v>
      </c>
      <c r="Q252" s="13" t="s">
        <v>109</v>
      </c>
      <c r="R252" s="13" t="str">
        <f aca="false">TRIM(LEFT(A252,FIND("/",A252)-1))</f>
        <v>Awareness</v>
      </c>
      <c r="S252" s="13" t="str">
        <f aca="false">LEFT(C252,7)</f>
        <v>2026-08</v>
      </c>
    </row>
    <row r="253" customFormat="false" ht="15" hidden="false" customHeight="false" outlineLevel="0" collapsed="false">
      <c r="A253" s="13" t="s">
        <v>73</v>
      </c>
      <c r="B253" s="13" t="s">
        <v>74</v>
      </c>
      <c r="C253" s="13" t="s">
        <v>109</v>
      </c>
      <c r="D253" s="13" t="s">
        <v>69</v>
      </c>
      <c r="E253" s="13" t="s">
        <v>51</v>
      </c>
      <c r="F253" s="14" t="n">
        <v>7506</v>
      </c>
      <c r="G253" s="14" t="n">
        <v>8722</v>
      </c>
      <c r="H253" s="13" t="s">
        <v>52</v>
      </c>
      <c r="I253" s="14" t="n">
        <v>181294</v>
      </c>
      <c r="J253" s="14" t="n">
        <v>271</v>
      </c>
      <c r="K253" s="14"/>
      <c r="L253" s="14"/>
      <c r="M253" s="14" t="n">
        <v>33</v>
      </c>
      <c r="N253" s="14" t="n">
        <v>5739502</v>
      </c>
      <c r="O253" s="15"/>
      <c r="P253" s="13" t="s">
        <v>109</v>
      </c>
      <c r="Q253" s="13" t="s">
        <v>109</v>
      </c>
      <c r="R253" s="13" t="str">
        <f aca="false">TRIM(LEFT(A253,FIND("/",A253)-1))</f>
        <v>Sales</v>
      </c>
      <c r="S253" s="13" t="str">
        <f aca="false">LEFT(C253,7)</f>
        <v>2026-08</v>
      </c>
    </row>
    <row r="254" customFormat="false" ht="15" hidden="false" customHeight="false" outlineLevel="0" collapsed="false">
      <c r="A254" s="13" t="s">
        <v>93</v>
      </c>
      <c r="B254" s="13" t="s">
        <v>94</v>
      </c>
      <c r="C254" s="13" t="s">
        <v>109</v>
      </c>
      <c r="D254" s="13" t="s">
        <v>50</v>
      </c>
      <c r="E254" s="13" t="s">
        <v>51</v>
      </c>
      <c r="F254" s="14" t="n">
        <v>283</v>
      </c>
      <c r="G254" s="14" t="n">
        <v>621</v>
      </c>
      <c r="H254" s="13" t="s">
        <v>52</v>
      </c>
      <c r="I254" s="14" t="n">
        <v>22684</v>
      </c>
      <c r="J254" s="14" t="n">
        <v>14</v>
      </c>
      <c r="K254" s="14"/>
      <c r="L254" s="14"/>
      <c r="M254" s="14" t="n">
        <v>1</v>
      </c>
      <c r="N254" s="14" t="n">
        <v>160411</v>
      </c>
      <c r="O254" s="15"/>
      <c r="P254" s="13" t="s">
        <v>109</v>
      </c>
      <c r="Q254" s="13" t="s">
        <v>109</v>
      </c>
      <c r="R254" s="13" t="str">
        <f aca="false">TRIM(LEFT(A254,FIND("/",A254)-1))</f>
        <v>Sales</v>
      </c>
      <c r="S254" s="13" t="str">
        <f aca="false">LEFT(C254,7)</f>
        <v>2026-08</v>
      </c>
    </row>
    <row r="255" customFormat="false" ht="15" hidden="false" customHeight="false" outlineLevel="0" collapsed="false">
      <c r="A255" s="13" t="s">
        <v>93</v>
      </c>
      <c r="B255" s="13" t="s">
        <v>95</v>
      </c>
      <c r="C255" s="13" t="s">
        <v>109</v>
      </c>
      <c r="D255" s="13" t="s">
        <v>50</v>
      </c>
      <c r="E255" s="13" t="s">
        <v>51</v>
      </c>
      <c r="F255" s="14" t="n">
        <v>4234</v>
      </c>
      <c r="G255" s="14" t="n">
        <v>8189</v>
      </c>
      <c r="H255" s="13" t="s">
        <v>52</v>
      </c>
      <c r="I255" s="14" t="n">
        <v>117906</v>
      </c>
      <c r="J255" s="14" t="n">
        <v>158</v>
      </c>
      <c r="K255" s="14"/>
      <c r="L255" s="14"/>
      <c r="M255" s="14" t="n">
        <v>7</v>
      </c>
      <c r="N255" s="14" t="n">
        <v>989984</v>
      </c>
      <c r="O255" s="15"/>
      <c r="P255" s="13" t="s">
        <v>109</v>
      </c>
      <c r="Q255" s="13" t="s">
        <v>109</v>
      </c>
      <c r="R255" s="13" t="str">
        <f aca="false">TRIM(LEFT(A255,FIND("/",A255)-1))</f>
        <v>Sales</v>
      </c>
      <c r="S255" s="13" t="str">
        <f aca="false">LEFT(C255,7)</f>
        <v>2026-08</v>
      </c>
    </row>
    <row r="256" customFormat="false" ht="15" hidden="false" customHeight="false" outlineLevel="0" collapsed="false">
      <c r="A256" s="13" t="s">
        <v>75</v>
      </c>
      <c r="B256" s="13" t="s">
        <v>76</v>
      </c>
      <c r="C256" s="13" t="s">
        <v>109</v>
      </c>
      <c r="D256" s="13" t="s">
        <v>69</v>
      </c>
      <c r="E256" s="13" t="s">
        <v>51</v>
      </c>
      <c r="F256" s="14" t="n">
        <v>41023</v>
      </c>
      <c r="G256" s="14" t="n">
        <v>49095</v>
      </c>
      <c r="H256" s="13" t="s">
        <v>52</v>
      </c>
      <c r="I256" s="14" t="n">
        <v>155433</v>
      </c>
      <c r="J256" s="14" t="n">
        <v>1008</v>
      </c>
      <c r="K256" s="14"/>
      <c r="L256" s="14"/>
      <c r="M256" s="14" t="n">
        <v>7</v>
      </c>
      <c r="N256" s="14" t="n">
        <v>1060497</v>
      </c>
      <c r="O256" s="15"/>
      <c r="P256" s="13" t="s">
        <v>109</v>
      </c>
      <c r="Q256" s="13" t="s">
        <v>109</v>
      </c>
      <c r="R256" s="13" t="str">
        <f aca="false">TRIM(LEFT(A256,FIND("/",A256)-1))</f>
        <v>Traffic</v>
      </c>
      <c r="S256" s="13" t="str">
        <f aca="false">LEFT(C256,7)</f>
        <v>2026-08</v>
      </c>
    </row>
    <row r="257" customFormat="false" ht="15" hidden="false" customHeight="false" outlineLevel="0" collapsed="false">
      <c r="A257" s="13" t="s">
        <v>75</v>
      </c>
      <c r="B257" s="13" t="s">
        <v>77</v>
      </c>
      <c r="C257" s="13" t="s">
        <v>109</v>
      </c>
      <c r="D257" s="13" t="s">
        <v>69</v>
      </c>
      <c r="E257" s="13" t="s">
        <v>51</v>
      </c>
      <c r="F257" s="14" t="n">
        <v>5888</v>
      </c>
      <c r="G257" s="14" t="n">
        <v>7059</v>
      </c>
      <c r="H257" s="13" t="s">
        <v>52</v>
      </c>
      <c r="I257" s="14" t="n">
        <v>30056</v>
      </c>
      <c r="J257" s="14" t="n">
        <v>207</v>
      </c>
      <c r="K257" s="14"/>
      <c r="L257" s="14"/>
      <c r="M257" s="14" t="n">
        <v>2</v>
      </c>
      <c r="N257" s="14" t="n">
        <v>356342</v>
      </c>
      <c r="O257" s="15"/>
      <c r="P257" s="13" t="s">
        <v>109</v>
      </c>
      <c r="Q257" s="13" t="s">
        <v>109</v>
      </c>
      <c r="R257" s="13" t="str">
        <f aca="false">TRIM(LEFT(A257,FIND("/",A257)-1))</f>
        <v>Traffic</v>
      </c>
      <c r="S257" s="13" t="str">
        <f aca="false">LEFT(C257,7)</f>
        <v>2026-08</v>
      </c>
    </row>
    <row r="258" customFormat="false" ht="15" hidden="false" customHeight="false" outlineLevel="0" collapsed="false">
      <c r="A258" s="13" t="s">
        <v>75</v>
      </c>
      <c r="B258" s="13" t="s">
        <v>79</v>
      </c>
      <c r="C258" s="13" t="s">
        <v>109</v>
      </c>
      <c r="D258" s="13" t="s">
        <v>69</v>
      </c>
      <c r="E258" s="13" t="s">
        <v>51</v>
      </c>
      <c r="F258" s="14" t="n">
        <v>24949</v>
      </c>
      <c r="G258" s="14" t="n">
        <v>29998</v>
      </c>
      <c r="H258" s="13" t="s">
        <v>52</v>
      </c>
      <c r="I258" s="14" t="n">
        <v>86239</v>
      </c>
      <c r="J258" s="14" t="n">
        <v>651</v>
      </c>
      <c r="K258" s="14"/>
      <c r="L258" s="14"/>
      <c r="M258" s="14" t="n">
        <v>2</v>
      </c>
      <c r="N258" s="14" t="n">
        <v>270527</v>
      </c>
      <c r="O258" s="15"/>
      <c r="P258" s="13" t="s">
        <v>109</v>
      </c>
      <c r="Q258" s="13" t="s">
        <v>109</v>
      </c>
      <c r="R258" s="13" t="str">
        <f aca="false">TRIM(LEFT(A258,FIND("/",A258)-1))</f>
        <v>Traffic</v>
      </c>
      <c r="S258" s="13" t="str">
        <f aca="false">LEFT(C258,7)</f>
        <v>2026-08</v>
      </c>
    </row>
    <row r="259" customFormat="false" ht="15" hidden="false" customHeight="false" outlineLevel="0" collapsed="false">
      <c r="A259" s="13" t="s">
        <v>66</v>
      </c>
      <c r="B259" s="13" t="s">
        <v>67</v>
      </c>
      <c r="C259" s="13" t="s">
        <v>110</v>
      </c>
      <c r="D259" s="13" t="s">
        <v>69</v>
      </c>
      <c r="E259" s="13" t="s">
        <v>51</v>
      </c>
      <c r="F259" s="14" t="n">
        <v>62378</v>
      </c>
      <c r="G259" s="14" t="n">
        <v>64058</v>
      </c>
      <c r="H259" s="13" t="s">
        <v>52</v>
      </c>
      <c r="I259" s="14" t="n">
        <v>82099</v>
      </c>
      <c r="J259" s="14" t="n">
        <v>11</v>
      </c>
      <c r="K259" s="14"/>
      <c r="L259" s="14"/>
      <c r="M259" s="14"/>
      <c r="N259" s="14"/>
      <c r="O259" s="15"/>
      <c r="P259" s="13" t="s">
        <v>110</v>
      </c>
      <c r="Q259" s="13" t="s">
        <v>110</v>
      </c>
      <c r="R259" s="13" t="str">
        <f aca="false">TRIM(LEFT(A259,FIND("/",A259)-1))</f>
        <v>Awareness</v>
      </c>
      <c r="S259" s="13" t="str">
        <f aca="false">LEFT(C259,7)</f>
        <v>2026-08</v>
      </c>
    </row>
    <row r="260" customFormat="false" ht="15" hidden="false" customHeight="false" outlineLevel="0" collapsed="false">
      <c r="A260" s="13" t="s">
        <v>66</v>
      </c>
      <c r="B260" s="13" t="s">
        <v>70</v>
      </c>
      <c r="C260" s="13" t="s">
        <v>110</v>
      </c>
      <c r="D260" s="13" t="s">
        <v>69</v>
      </c>
      <c r="E260" s="13" t="s">
        <v>51</v>
      </c>
      <c r="F260" s="14" t="n">
        <v>41312</v>
      </c>
      <c r="G260" s="14" t="n">
        <v>41707</v>
      </c>
      <c r="H260" s="13" t="s">
        <v>52</v>
      </c>
      <c r="I260" s="14" t="n">
        <v>52824</v>
      </c>
      <c r="J260" s="14" t="n">
        <v>11</v>
      </c>
      <c r="K260" s="14"/>
      <c r="L260" s="14"/>
      <c r="M260" s="14"/>
      <c r="N260" s="14"/>
      <c r="O260" s="15"/>
      <c r="P260" s="13" t="s">
        <v>110</v>
      </c>
      <c r="Q260" s="13" t="s">
        <v>110</v>
      </c>
      <c r="R260" s="13" t="str">
        <f aca="false">TRIM(LEFT(A260,FIND("/",A260)-1))</f>
        <v>Awareness</v>
      </c>
      <c r="S260" s="13" t="str">
        <f aca="false">LEFT(C260,7)</f>
        <v>2026-08</v>
      </c>
    </row>
    <row r="261" customFormat="false" ht="15" hidden="false" customHeight="false" outlineLevel="0" collapsed="false">
      <c r="A261" s="13" t="s">
        <v>66</v>
      </c>
      <c r="B261" s="13" t="s">
        <v>71</v>
      </c>
      <c r="C261" s="13" t="s">
        <v>110</v>
      </c>
      <c r="D261" s="13" t="s">
        <v>69</v>
      </c>
      <c r="E261" s="13" t="s">
        <v>51</v>
      </c>
      <c r="F261" s="14" t="n">
        <v>5567</v>
      </c>
      <c r="G261" s="14" t="n">
        <v>5593</v>
      </c>
      <c r="H261" s="13" t="s">
        <v>52</v>
      </c>
      <c r="I261" s="14" t="n">
        <v>7209</v>
      </c>
      <c r="J261" s="14" t="n">
        <v>3</v>
      </c>
      <c r="K261" s="14"/>
      <c r="L261" s="14"/>
      <c r="M261" s="14"/>
      <c r="N261" s="14"/>
      <c r="O261" s="15"/>
      <c r="P261" s="13" t="s">
        <v>110</v>
      </c>
      <c r="Q261" s="13" t="s">
        <v>110</v>
      </c>
      <c r="R261" s="13" t="str">
        <f aca="false">TRIM(LEFT(A261,FIND("/",A261)-1))</f>
        <v>Awareness</v>
      </c>
      <c r="S261" s="13" t="str">
        <f aca="false">LEFT(C261,7)</f>
        <v>2026-08</v>
      </c>
    </row>
    <row r="262" customFormat="false" ht="15" hidden="false" customHeight="false" outlineLevel="0" collapsed="false">
      <c r="A262" s="13" t="s">
        <v>73</v>
      </c>
      <c r="B262" s="13" t="s">
        <v>74</v>
      </c>
      <c r="C262" s="13" t="s">
        <v>110</v>
      </c>
      <c r="D262" s="13" t="s">
        <v>69</v>
      </c>
      <c r="E262" s="13" t="s">
        <v>51</v>
      </c>
      <c r="F262" s="14" t="n">
        <v>7601</v>
      </c>
      <c r="G262" s="14" t="n">
        <v>8574</v>
      </c>
      <c r="H262" s="13" t="s">
        <v>52</v>
      </c>
      <c r="I262" s="14" t="n">
        <v>178521</v>
      </c>
      <c r="J262" s="14" t="n">
        <v>198</v>
      </c>
      <c r="K262" s="14" t="n">
        <v>3</v>
      </c>
      <c r="L262" s="14" t="n">
        <v>397223</v>
      </c>
      <c r="M262" s="14" t="n">
        <v>20</v>
      </c>
      <c r="N262" s="14" t="n">
        <v>3399577</v>
      </c>
      <c r="O262" s="15" t="n">
        <v>2.22507716</v>
      </c>
      <c r="P262" s="13" t="s">
        <v>110</v>
      </c>
      <c r="Q262" s="13" t="s">
        <v>110</v>
      </c>
      <c r="R262" s="13" t="str">
        <f aca="false">TRIM(LEFT(A262,FIND("/",A262)-1))</f>
        <v>Sales</v>
      </c>
      <c r="S262" s="13" t="str">
        <f aca="false">LEFT(C262,7)</f>
        <v>2026-08</v>
      </c>
    </row>
    <row r="263" customFormat="false" ht="15" hidden="false" customHeight="false" outlineLevel="0" collapsed="false">
      <c r="A263" s="13" t="s">
        <v>93</v>
      </c>
      <c r="B263" s="13" t="s">
        <v>94</v>
      </c>
      <c r="C263" s="13" t="s">
        <v>110</v>
      </c>
      <c r="D263" s="13" t="s">
        <v>50</v>
      </c>
      <c r="E263" s="13" t="s">
        <v>51</v>
      </c>
      <c r="F263" s="14" t="n">
        <v>292</v>
      </c>
      <c r="G263" s="14" t="n">
        <v>610</v>
      </c>
      <c r="H263" s="13" t="s">
        <v>52</v>
      </c>
      <c r="I263" s="14" t="n">
        <v>23901</v>
      </c>
      <c r="J263" s="14" t="n">
        <v>10</v>
      </c>
      <c r="K263" s="14"/>
      <c r="L263" s="14"/>
      <c r="M263" s="14" t="n">
        <v>1</v>
      </c>
      <c r="N263" s="14" t="n">
        <v>186057</v>
      </c>
      <c r="O263" s="15"/>
      <c r="P263" s="13" t="s">
        <v>110</v>
      </c>
      <c r="Q263" s="13" t="s">
        <v>110</v>
      </c>
      <c r="R263" s="13" t="str">
        <f aca="false">TRIM(LEFT(A263,FIND("/",A263)-1))</f>
        <v>Sales</v>
      </c>
      <c r="S263" s="13" t="str">
        <f aca="false">LEFT(C263,7)</f>
        <v>2026-08</v>
      </c>
    </row>
    <row r="264" customFormat="false" ht="15" hidden="false" customHeight="false" outlineLevel="0" collapsed="false">
      <c r="A264" s="13" t="s">
        <v>93</v>
      </c>
      <c r="B264" s="13" t="s">
        <v>95</v>
      </c>
      <c r="C264" s="13" t="s">
        <v>110</v>
      </c>
      <c r="D264" s="13" t="s">
        <v>50</v>
      </c>
      <c r="E264" s="13" t="s">
        <v>51</v>
      </c>
      <c r="F264" s="14" t="n">
        <v>3237</v>
      </c>
      <c r="G264" s="14" t="n">
        <v>5923</v>
      </c>
      <c r="H264" s="13" t="s">
        <v>52</v>
      </c>
      <c r="I264" s="14" t="n">
        <v>94545</v>
      </c>
      <c r="J264" s="14" t="n">
        <v>91</v>
      </c>
      <c r="K264" s="14"/>
      <c r="L264" s="14"/>
      <c r="M264" s="14" t="n">
        <v>6</v>
      </c>
      <c r="N264" s="14" t="n">
        <v>904695</v>
      </c>
      <c r="O264" s="15"/>
      <c r="P264" s="13" t="s">
        <v>110</v>
      </c>
      <c r="Q264" s="13" t="s">
        <v>110</v>
      </c>
      <c r="R264" s="13" t="str">
        <f aca="false">TRIM(LEFT(A264,FIND("/",A264)-1))</f>
        <v>Sales</v>
      </c>
      <c r="S264" s="13" t="str">
        <f aca="false">LEFT(C264,7)</f>
        <v>2026-08</v>
      </c>
    </row>
    <row r="265" customFormat="false" ht="15" hidden="false" customHeight="false" outlineLevel="0" collapsed="false">
      <c r="A265" s="13" t="s">
        <v>75</v>
      </c>
      <c r="B265" s="13" t="s">
        <v>76</v>
      </c>
      <c r="C265" s="13" t="s">
        <v>110</v>
      </c>
      <c r="D265" s="13" t="s">
        <v>69</v>
      </c>
      <c r="E265" s="13" t="s">
        <v>51</v>
      </c>
      <c r="F265" s="14" t="n">
        <v>60586</v>
      </c>
      <c r="G265" s="14" t="n">
        <v>75045</v>
      </c>
      <c r="H265" s="13" t="s">
        <v>52</v>
      </c>
      <c r="I265" s="14" t="n">
        <v>214953</v>
      </c>
      <c r="J265" s="14" t="n">
        <v>1552</v>
      </c>
      <c r="K265" s="14"/>
      <c r="L265" s="14"/>
      <c r="M265" s="14" t="n">
        <v>4</v>
      </c>
      <c r="N265" s="14" t="n">
        <v>714626</v>
      </c>
      <c r="O265" s="15"/>
      <c r="P265" s="13" t="s">
        <v>110</v>
      </c>
      <c r="Q265" s="13" t="s">
        <v>110</v>
      </c>
      <c r="R265" s="13" t="str">
        <f aca="false">TRIM(LEFT(A265,FIND("/",A265)-1))</f>
        <v>Traffic</v>
      </c>
      <c r="S265" s="13" t="str">
        <f aca="false">LEFT(C265,7)</f>
        <v>2026-08</v>
      </c>
    </row>
    <row r="266" customFormat="false" ht="15" hidden="false" customHeight="false" outlineLevel="0" collapsed="false">
      <c r="A266" s="13" t="s">
        <v>75</v>
      </c>
      <c r="B266" s="13" t="s">
        <v>77</v>
      </c>
      <c r="C266" s="13" t="s">
        <v>110</v>
      </c>
      <c r="D266" s="13" t="s">
        <v>69</v>
      </c>
      <c r="E266" s="13" t="s">
        <v>51</v>
      </c>
      <c r="F266" s="14" t="n">
        <v>6765</v>
      </c>
      <c r="G266" s="14" t="n">
        <v>8812</v>
      </c>
      <c r="H266" s="13" t="s">
        <v>52</v>
      </c>
      <c r="I266" s="14" t="n">
        <v>35562</v>
      </c>
      <c r="J266" s="14" t="n">
        <v>266</v>
      </c>
      <c r="K266" s="14"/>
      <c r="L266" s="14"/>
      <c r="M266" s="14" t="n">
        <v>1</v>
      </c>
      <c r="N266" s="14" t="n">
        <v>203545</v>
      </c>
      <c r="O266" s="15"/>
      <c r="P266" s="13" t="s">
        <v>110</v>
      </c>
      <c r="Q266" s="13" t="s">
        <v>110</v>
      </c>
      <c r="R266" s="13" t="str">
        <f aca="false">TRIM(LEFT(A266,FIND("/",A266)-1))</f>
        <v>Traffic</v>
      </c>
      <c r="S266" s="13" t="str">
        <f aca="false">LEFT(C266,7)</f>
        <v>2026-08</v>
      </c>
    </row>
    <row r="267" customFormat="false" ht="15" hidden="false" customHeight="false" outlineLevel="0" collapsed="false">
      <c r="A267" s="13" t="s">
        <v>75</v>
      </c>
      <c r="B267" s="13" t="s">
        <v>79</v>
      </c>
      <c r="C267" s="13" t="s">
        <v>110</v>
      </c>
      <c r="D267" s="13" t="s">
        <v>69</v>
      </c>
      <c r="E267" s="13" t="s">
        <v>51</v>
      </c>
      <c r="F267" s="14" t="n">
        <v>21195</v>
      </c>
      <c r="G267" s="14" t="n">
        <v>25227</v>
      </c>
      <c r="H267" s="13" t="s">
        <v>52</v>
      </c>
      <c r="I267" s="14" t="n">
        <v>70006</v>
      </c>
      <c r="J267" s="14" t="n">
        <v>540</v>
      </c>
      <c r="K267" s="14"/>
      <c r="L267" s="14"/>
      <c r="M267" s="14" t="n">
        <v>1</v>
      </c>
      <c r="N267" s="14" t="n">
        <v>170154</v>
      </c>
      <c r="O267" s="15"/>
      <c r="P267" s="13" t="s">
        <v>110</v>
      </c>
      <c r="Q267" s="13" t="s">
        <v>110</v>
      </c>
      <c r="R267" s="13" t="str">
        <f aca="false">TRIM(LEFT(A267,FIND("/",A267)-1))</f>
        <v>Traffic</v>
      </c>
      <c r="S267" s="13" t="str">
        <f aca="false">LEFT(C267,7)</f>
        <v>2026-08</v>
      </c>
    </row>
    <row r="268" customFormat="false" ht="15" hidden="false" customHeight="false" outlineLevel="0" collapsed="false">
      <c r="A268" s="13" t="s">
        <v>66</v>
      </c>
      <c r="B268" s="13" t="s">
        <v>67</v>
      </c>
      <c r="C268" s="13" t="s">
        <v>111</v>
      </c>
      <c r="D268" s="13" t="s">
        <v>69</v>
      </c>
      <c r="E268" s="13" t="s">
        <v>51</v>
      </c>
      <c r="F268" s="14" t="n">
        <v>88358</v>
      </c>
      <c r="G268" s="14" t="n">
        <v>89014</v>
      </c>
      <c r="H268" s="13" t="s">
        <v>52</v>
      </c>
      <c r="I268" s="14" t="n">
        <v>117231</v>
      </c>
      <c r="J268" s="14" t="n">
        <v>14</v>
      </c>
      <c r="K268" s="14"/>
      <c r="L268" s="14"/>
      <c r="M268" s="14"/>
      <c r="N268" s="14"/>
      <c r="O268" s="15"/>
      <c r="P268" s="13" t="s">
        <v>111</v>
      </c>
      <c r="Q268" s="13" t="s">
        <v>111</v>
      </c>
      <c r="R268" s="13" t="str">
        <f aca="false">TRIM(LEFT(A268,FIND("/",A268)-1))</f>
        <v>Awareness</v>
      </c>
      <c r="S268" s="13" t="str">
        <f aca="false">LEFT(C268,7)</f>
        <v>2026-08</v>
      </c>
    </row>
    <row r="269" customFormat="false" ht="15" hidden="false" customHeight="false" outlineLevel="0" collapsed="false">
      <c r="A269" s="13" t="s">
        <v>66</v>
      </c>
      <c r="B269" s="13" t="s">
        <v>70</v>
      </c>
      <c r="C269" s="13" t="s">
        <v>111</v>
      </c>
      <c r="D269" s="13" t="s">
        <v>69</v>
      </c>
      <c r="E269" s="13" t="s">
        <v>51</v>
      </c>
      <c r="F269" s="14" t="n">
        <v>13567</v>
      </c>
      <c r="G269" s="14" t="n">
        <v>13785</v>
      </c>
      <c r="H269" s="13" t="s">
        <v>52</v>
      </c>
      <c r="I269" s="14" t="n">
        <v>18081</v>
      </c>
      <c r="J269" s="14" t="n">
        <v>1</v>
      </c>
      <c r="K269" s="14"/>
      <c r="L269" s="14"/>
      <c r="M269" s="14"/>
      <c r="N269" s="14"/>
      <c r="O269" s="15"/>
      <c r="P269" s="13" t="s">
        <v>111</v>
      </c>
      <c r="Q269" s="13" t="s">
        <v>111</v>
      </c>
      <c r="R269" s="13" t="str">
        <f aca="false">TRIM(LEFT(A269,FIND("/",A269)-1))</f>
        <v>Awareness</v>
      </c>
      <c r="S269" s="13" t="str">
        <f aca="false">LEFT(C269,7)</f>
        <v>2026-08</v>
      </c>
    </row>
    <row r="270" customFormat="false" ht="15" hidden="false" customHeight="false" outlineLevel="0" collapsed="false">
      <c r="A270" s="13" t="s">
        <v>66</v>
      </c>
      <c r="B270" s="13" t="s">
        <v>71</v>
      </c>
      <c r="C270" s="13" t="s">
        <v>111</v>
      </c>
      <c r="D270" s="13" t="s">
        <v>69</v>
      </c>
      <c r="E270" s="13" t="s">
        <v>51</v>
      </c>
      <c r="F270" s="14" t="n">
        <v>2155</v>
      </c>
      <c r="G270" s="14" t="n">
        <v>2171</v>
      </c>
      <c r="H270" s="13" t="s">
        <v>52</v>
      </c>
      <c r="I270" s="14" t="n">
        <v>2787</v>
      </c>
      <c r="J270" s="14" t="n">
        <v>1</v>
      </c>
      <c r="K270" s="14"/>
      <c r="L270" s="14"/>
      <c r="M270" s="14"/>
      <c r="N270" s="14"/>
      <c r="O270" s="15"/>
      <c r="P270" s="13" t="s">
        <v>111</v>
      </c>
      <c r="Q270" s="13" t="s">
        <v>111</v>
      </c>
      <c r="R270" s="13" t="str">
        <f aca="false">TRIM(LEFT(A270,FIND("/",A270)-1))</f>
        <v>Awareness</v>
      </c>
      <c r="S270" s="13" t="str">
        <f aca="false">LEFT(C270,7)</f>
        <v>2026-08</v>
      </c>
    </row>
    <row r="271" customFormat="false" ht="15" hidden="false" customHeight="false" outlineLevel="0" collapsed="false">
      <c r="A271" s="13" t="s">
        <v>73</v>
      </c>
      <c r="B271" s="13" t="s">
        <v>74</v>
      </c>
      <c r="C271" s="13" t="s">
        <v>111</v>
      </c>
      <c r="D271" s="13" t="s">
        <v>69</v>
      </c>
      <c r="E271" s="13" t="s">
        <v>51</v>
      </c>
      <c r="F271" s="14" t="n">
        <v>7805</v>
      </c>
      <c r="G271" s="14" t="n">
        <v>9200</v>
      </c>
      <c r="H271" s="13" t="s">
        <v>52</v>
      </c>
      <c r="I271" s="14" t="n">
        <v>214090</v>
      </c>
      <c r="J271" s="14" t="n">
        <v>255</v>
      </c>
      <c r="K271" s="14" t="n">
        <v>2</v>
      </c>
      <c r="L271" s="14" t="n">
        <v>345736</v>
      </c>
      <c r="M271" s="14" t="n">
        <v>23</v>
      </c>
      <c r="N271" s="14" t="n">
        <v>3729470</v>
      </c>
      <c r="O271" s="15" t="n">
        <v>1.61490962</v>
      </c>
      <c r="P271" s="13" t="s">
        <v>111</v>
      </c>
      <c r="Q271" s="13" t="s">
        <v>111</v>
      </c>
      <c r="R271" s="13" t="str">
        <f aca="false">TRIM(LEFT(A271,FIND("/",A271)-1))</f>
        <v>Sales</v>
      </c>
      <c r="S271" s="13" t="str">
        <f aca="false">LEFT(C271,7)</f>
        <v>2026-08</v>
      </c>
    </row>
    <row r="272" customFormat="false" ht="15" hidden="false" customHeight="false" outlineLevel="0" collapsed="false">
      <c r="A272" s="13" t="s">
        <v>93</v>
      </c>
      <c r="B272" s="13" t="s">
        <v>94</v>
      </c>
      <c r="C272" s="13" t="s">
        <v>111</v>
      </c>
      <c r="D272" s="13" t="s">
        <v>50</v>
      </c>
      <c r="E272" s="13" t="s">
        <v>51</v>
      </c>
      <c r="F272" s="14" t="n">
        <v>262</v>
      </c>
      <c r="G272" s="14" t="n">
        <v>485</v>
      </c>
      <c r="H272" s="13" t="s">
        <v>52</v>
      </c>
      <c r="I272" s="14" t="n">
        <v>16155</v>
      </c>
      <c r="J272" s="14" t="n">
        <v>8</v>
      </c>
      <c r="K272" s="14" t="n">
        <v>1</v>
      </c>
      <c r="L272" s="14" t="n">
        <v>147986</v>
      </c>
      <c r="M272" s="14" t="n">
        <v>1</v>
      </c>
      <c r="N272" s="14" t="n">
        <v>132986</v>
      </c>
      <c r="O272" s="15" t="n">
        <v>9.16038378</v>
      </c>
      <c r="P272" s="13" t="s">
        <v>111</v>
      </c>
      <c r="Q272" s="13" t="s">
        <v>111</v>
      </c>
      <c r="R272" s="13" t="str">
        <f aca="false">TRIM(LEFT(A272,FIND("/",A272)-1))</f>
        <v>Sales</v>
      </c>
      <c r="S272" s="13" t="str">
        <f aca="false">LEFT(C272,7)</f>
        <v>2026-08</v>
      </c>
    </row>
    <row r="273" customFormat="false" ht="15" hidden="false" customHeight="false" outlineLevel="0" collapsed="false">
      <c r="A273" s="13" t="s">
        <v>93</v>
      </c>
      <c r="B273" s="13" t="s">
        <v>95</v>
      </c>
      <c r="C273" s="13" t="s">
        <v>111</v>
      </c>
      <c r="D273" s="13" t="s">
        <v>50</v>
      </c>
      <c r="E273" s="13" t="s">
        <v>51</v>
      </c>
      <c r="F273" s="14" t="n">
        <v>4825</v>
      </c>
      <c r="G273" s="14" t="n">
        <v>10346</v>
      </c>
      <c r="H273" s="13" t="s">
        <v>52</v>
      </c>
      <c r="I273" s="14" t="n">
        <v>151719</v>
      </c>
      <c r="J273" s="14" t="n">
        <v>103</v>
      </c>
      <c r="K273" s="14" t="n">
        <v>1</v>
      </c>
      <c r="L273" s="14" t="n">
        <v>193171</v>
      </c>
      <c r="M273" s="14" t="n">
        <v>3</v>
      </c>
      <c r="N273" s="14" t="n">
        <v>448698</v>
      </c>
      <c r="O273" s="15" t="n">
        <v>1.27321562</v>
      </c>
      <c r="P273" s="13" t="s">
        <v>111</v>
      </c>
      <c r="Q273" s="13" t="s">
        <v>111</v>
      </c>
      <c r="R273" s="13" t="str">
        <f aca="false">TRIM(LEFT(A273,FIND("/",A273)-1))</f>
        <v>Sales</v>
      </c>
      <c r="S273" s="13" t="str">
        <f aca="false">LEFT(C273,7)</f>
        <v>2026-08</v>
      </c>
    </row>
    <row r="274" customFormat="false" ht="15" hidden="false" customHeight="false" outlineLevel="0" collapsed="false">
      <c r="A274" s="13" t="s">
        <v>75</v>
      </c>
      <c r="B274" s="13" t="s">
        <v>76</v>
      </c>
      <c r="C274" s="13" t="s">
        <v>111</v>
      </c>
      <c r="D274" s="13" t="s">
        <v>69</v>
      </c>
      <c r="E274" s="13" t="s">
        <v>51</v>
      </c>
      <c r="F274" s="14" t="n">
        <v>67784</v>
      </c>
      <c r="G274" s="14" t="n">
        <v>89339</v>
      </c>
      <c r="H274" s="13" t="s">
        <v>52</v>
      </c>
      <c r="I274" s="14" t="n">
        <v>249080</v>
      </c>
      <c r="J274" s="14" t="n">
        <v>1798</v>
      </c>
      <c r="K274" s="14"/>
      <c r="L274" s="14"/>
      <c r="M274" s="14" t="n">
        <v>6</v>
      </c>
      <c r="N274" s="14" t="n">
        <v>960407</v>
      </c>
      <c r="O274" s="15"/>
      <c r="P274" s="13" t="s">
        <v>111</v>
      </c>
      <c r="Q274" s="13" t="s">
        <v>111</v>
      </c>
      <c r="R274" s="13" t="str">
        <f aca="false">TRIM(LEFT(A274,FIND("/",A274)-1))</f>
        <v>Traffic</v>
      </c>
      <c r="S274" s="13" t="str">
        <f aca="false">LEFT(C274,7)</f>
        <v>2026-08</v>
      </c>
    </row>
    <row r="275" customFormat="false" ht="15" hidden="false" customHeight="false" outlineLevel="0" collapsed="false">
      <c r="A275" s="13" t="s">
        <v>75</v>
      </c>
      <c r="B275" s="13" t="s">
        <v>77</v>
      </c>
      <c r="C275" s="13" t="s">
        <v>111</v>
      </c>
      <c r="D275" s="13" t="s">
        <v>69</v>
      </c>
      <c r="E275" s="13" t="s">
        <v>51</v>
      </c>
      <c r="F275" s="14" t="n">
        <v>3220</v>
      </c>
      <c r="G275" s="14" t="n">
        <v>3499</v>
      </c>
      <c r="H275" s="13" t="s">
        <v>52</v>
      </c>
      <c r="I275" s="14" t="n">
        <v>12698</v>
      </c>
      <c r="J275" s="14" t="n">
        <v>97</v>
      </c>
      <c r="K275" s="14"/>
      <c r="L275" s="14"/>
      <c r="M275" s="14" t="n">
        <v>1</v>
      </c>
      <c r="N275" s="14" t="n">
        <v>172868</v>
      </c>
      <c r="O275" s="15"/>
      <c r="P275" s="13" t="s">
        <v>111</v>
      </c>
      <c r="Q275" s="13" t="s">
        <v>111</v>
      </c>
      <c r="R275" s="13" t="str">
        <f aca="false">TRIM(LEFT(A275,FIND("/",A275)-1))</f>
        <v>Traffic</v>
      </c>
      <c r="S275" s="13" t="str">
        <f aca="false">LEFT(C275,7)</f>
        <v>2026-08</v>
      </c>
    </row>
    <row r="276" customFormat="false" ht="15" hidden="false" customHeight="false" outlineLevel="0" collapsed="false">
      <c r="A276" s="13" t="s">
        <v>75</v>
      </c>
      <c r="B276" s="13" t="s">
        <v>79</v>
      </c>
      <c r="C276" s="13" t="s">
        <v>111</v>
      </c>
      <c r="D276" s="13" t="s">
        <v>69</v>
      </c>
      <c r="E276" s="13" t="s">
        <v>51</v>
      </c>
      <c r="F276" s="14" t="n">
        <v>8896</v>
      </c>
      <c r="G276" s="14" t="n">
        <v>10007</v>
      </c>
      <c r="H276" s="13" t="s">
        <v>52</v>
      </c>
      <c r="I276" s="14" t="n">
        <v>26334</v>
      </c>
      <c r="J276" s="14" t="n">
        <v>215</v>
      </c>
      <c r="K276" s="14"/>
      <c r="L276" s="14"/>
      <c r="M276" s="14"/>
      <c r="N276" s="14"/>
      <c r="O276" s="15"/>
      <c r="P276" s="13" t="s">
        <v>111</v>
      </c>
      <c r="Q276" s="13" t="s">
        <v>111</v>
      </c>
      <c r="R276" s="13" t="str">
        <f aca="false">TRIM(LEFT(A276,FIND("/",A276)-1))</f>
        <v>Traffic</v>
      </c>
      <c r="S276" s="13" t="str">
        <f aca="false">LEFT(C276,7)</f>
        <v>2026-08</v>
      </c>
    </row>
    <row r="277" customFormat="false" ht="15" hidden="false" customHeight="false" outlineLevel="0" collapsed="false">
      <c r="A277" s="13" t="s">
        <v>66</v>
      </c>
      <c r="B277" s="13" t="s">
        <v>67</v>
      </c>
      <c r="C277" s="13" t="s">
        <v>112</v>
      </c>
      <c r="D277" s="13" t="s">
        <v>69</v>
      </c>
      <c r="E277" s="13" t="s">
        <v>51</v>
      </c>
      <c r="F277" s="14" t="n">
        <v>89414</v>
      </c>
      <c r="G277" s="14" t="n">
        <v>92476</v>
      </c>
      <c r="H277" s="13" t="s">
        <v>52</v>
      </c>
      <c r="I277" s="14" t="n">
        <v>121326</v>
      </c>
      <c r="J277" s="14" t="n">
        <v>16</v>
      </c>
      <c r="K277" s="14"/>
      <c r="L277" s="14"/>
      <c r="M277" s="14"/>
      <c r="N277" s="14"/>
      <c r="O277" s="15"/>
      <c r="P277" s="13" t="s">
        <v>112</v>
      </c>
      <c r="Q277" s="13" t="s">
        <v>112</v>
      </c>
      <c r="R277" s="13" t="str">
        <f aca="false">TRIM(LEFT(A277,FIND("/",A277)-1))</f>
        <v>Awareness</v>
      </c>
      <c r="S277" s="13" t="str">
        <f aca="false">LEFT(C277,7)</f>
        <v>2026-08</v>
      </c>
    </row>
    <row r="278" customFormat="false" ht="15" hidden="false" customHeight="false" outlineLevel="0" collapsed="false">
      <c r="A278" s="13" t="s">
        <v>66</v>
      </c>
      <c r="B278" s="13" t="s">
        <v>70</v>
      </c>
      <c r="C278" s="13" t="s">
        <v>112</v>
      </c>
      <c r="D278" s="13" t="s">
        <v>69</v>
      </c>
      <c r="E278" s="13" t="s">
        <v>51</v>
      </c>
      <c r="F278" s="14" t="n">
        <v>20541</v>
      </c>
      <c r="G278" s="14" t="n">
        <v>20889</v>
      </c>
      <c r="H278" s="13" t="s">
        <v>52</v>
      </c>
      <c r="I278" s="14" t="n">
        <v>26392</v>
      </c>
      <c r="J278" s="14" t="n">
        <v>3</v>
      </c>
      <c r="K278" s="14"/>
      <c r="L278" s="14"/>
      <c r="M278" s="14"/>
      <c r="N278" s="14"/>
      <c r="O278" s="15"/>
      <c r="P278" s="13" t="s">
        <v>112</v>
      </c>
      <c r="Q278" s="13" t="s">
        <v>112</v>
      </c>
      <c r="R278" s="13" t="str">
        <f aca="false">TRIM(LEFT(A278,FIND("/",A278)-1))</f>
        <v>Awareness</v>
      </c>
      <c r="S278" s="13" t="str">
        <f aca="false">LEFT(C278,7)</f>
        <v>2026-08</v>
      </c>
    </row>
    <row r="279" customFormat="false" ht="15" hidden="false" customHeight="false" outlineLevel="0" collapsed="false">
      <c r="A279" s="13" t="s">
        <v>66</v>
      </c>
      <c r="B279" s="13" t="s">
        <v>71</v>
      </c>
      <c r="C279" s="13" t="s">
        <v>112</v>
      </c>
      <c r="D279" s="13" t="s">
        <v>69</v>
      </c>
      <c r="E279" s="13" t="s">
        <v>51</v>
      </c>
      <c r="F279" s="14" t="n">
        <v>2933</v>
      </c>
      <c r="G279" s="14" t="n">
        <v>3007</v>
      </c>
      <c r="H279" s="13" t="s">
        <v>52</v>
      </c>
      <c r="I279" s="14" t="n">
        <v>3741</v>
      </c>
      <c r="J279" s="14" t="n">
        <v>2</v>
      </c>
      <c r="K279" s="14"/>
      <c r="L279" s="14"/>
      <c r="M279" s="14"/>
      <c r="N279" s="14"/>
      <c r="O279" s="15"/>
      <c r="P279" s="13" t="s">
        <v>112</v>
      </c>
      <c r="Q279" s="13" t="s">
        <v>112</v>
      </c>
      <c r="R279" s="13" t="str">
        <f aca="false">TRIM(LEFT(A279,FIND("/",A279)-1))</f>
        <v>Awareness</v>
      </c>
      <c r="S279" s="13" t="str">
        <f aca="false">LEFT(C279,7)</f>
        <v>2026-08</v>
      </c>
    </row>
    <row r="280" customFormat="false" ht="15" hidden="false" customHeight="false" outlineLevel="0" collapsed="false">
      <c r="A280" s="13" t="s">
        <v>73</v>
      </c>
      <c r="B280" s="13" t="s">
        <v>74</v>
      </c>
      <c r="C280" s="13" t="s">
        <v>112</v>
      </c>
      <c r="D280" s="13" t="s">
        <v>69</v>
      </c>
      <c r="E280" s="13" t="s">
        <v>51</v>
      </c>
      <c r="F280" s="14" t="n">
        <v>6276</v>
      </c>
      <c r="G280" s="14" t="n">
        <v>7307</v>
      </c>
      <c r="H280" s="13" t="s">
        <v>52</v>
      </c>
      <c r="I280" s="14" t="n">
        <v>192138</v>
      </c>
      <c r="J280" s="14" t="n">
        <v>222</v>
      </c>
      <c r="K280" s="14" t="n">
        <v>6</v>
      </c>
      <c r="L280" s="14" t="n">
        <v>1228198</v>
      </c>
      <c r="M280" s="14" t="n">
        <v>30</v>
      </c>
      <c r="N280" s="14" t="n">
        <v>5105535</v>
      </c>
      <c r="O280" s="15" t="n">
        <v>6.39227014</v>
      </c>
      <c r="P280" s="13" t="s">
        <v>112</v>
      </c>
      <c r="Q280" s="13" t="s">
        <v>112</v>
      </c>
      <c r="R280" s="13" t="str">
        <f aca="false">TRIM(LEFT(A280,FIND("/",A280)-1))</f>
        <v>Sales</v>
      </c>
      <c r="S280" s="13" t="str">
        <f aca="false">LEFT(C280,7)</f>
        <v>2026-08</v>
      </c>
    </row>
    <row r="281" customFormat="false" ht="15" hidden="false" customHeight="false" outlineLevel="0" collapsed="false">
      <c r="A281" s="13" t="s">
        <v>93</v>
      </c>
      <c r="B281" s="13" t="s">
        <v>94</v>
      </c>
      <c r="C281" s="13" t="s">
        <v>112</v>
      </c>
      <c r="D281" s="13" t="s">
        <v>50</v>
      </c>
      <c r="E281" s="13" t="s">
        <v>51</v>
      </c>
      <c r="F281" s="14" t="n">
        <v>222</v>
      </c>
      <c r="G281" s="14" t="n">
        <v>382</v>
      </c>
      <c r="H281" s="13" t="s">
        <v>52</v>
      </c>
      <c r="I281" s="14" t="n">
        <v>13603</v>
      </c>
      <c r="J281" s="14" t="n">
        <v>2</v>
      </c>
      <c r="K281" s="14"/>
      <c r="L281" s="14"/>
      <c r="M281" s="14" t="n">
        <v>1</v>
      </c>
      <c r="N281" s="14" t="n">
        <v>177399</v>
      </c>
      <c r="O281" s="15"/>
      <c r="P281" s="13" t="s">
        <v>112</v>
      </c>
      <c r="Q281" s="13" t="s">
        <v>112</v>
      </c>
      <c r="R281" s="13" t="str">
        <f aca="false">TRIM(LEFT(A281,FIND("/",A281)-1))</f>
        <v>Sales</v>
      </c>
      <c r="S281" s="13" t="str">
        <f aca="false">LEFT(C281,7)</f>
        <v>2026-08</v>
      </c>
    </row>
    <row r="282" customFormat="false" ht="15" hidden="false" customHeight="false" outlineLevel="0" collapsed="false">
      <c r="A282" s="13" t="s">
        <v>93</v>
      </c>
      <c r="B282" s="13" t="s">
        <v>95</v>
      </c>
      <c r="C282" s="13" t="s">
        <v>112</v>
      </c>
      <c r="D282" s="13" t="s">
        <v>50</v>
      </c>
      <c r="E282" s="13" t="s">
        <v>51</v>
      </c>
      <c r="F282" s="14" t="n">
        <v>4496</v>
      </c>
      <c r="G282" s="14" t="n">
        <v>9845</v>
      </c>
      <c r="H282" s="13" t="s">
        <v>52</v>
      </c>
      <c r="I282" s="14" t="n">
        <v>136338</v>
      </c>
      <c r="J282" s="14" t="n">
        <v>119</v>
      </c>
      <c r="K282" s="14"/>
      <c r="L282" s="14"/>
      <c r="M282" s="14" t="n">
        <v>1</v>
      </c>
      <c r="N282" s="14" t="n">
        <v>184370</v>
      </c>
      <c r="O282" s="15"/>
      <c r="P282" s="13" t="s">
        <v>112</v>
      </c>
      <c r="Q282" s="13" t="s">
        <v>112</v>
      </c>
      <c r="R282" s="13" t="str">
        <f aca="false">TRIM(LEFT(A282,FIND("/",A282)-1))</f>
        <v>Sales</v>
      </c>
      <c r="S282" s="13" t="str">
        <f aca="false">LEFT(C282,7)</f>
        <v>2026-08</v>
      </c>
    </row>
    <row r="283" customFormat="false" ht="15" hidden="false" customHeight="false" outlineLevel="0" collapsed="false">
      <c r="A283" s="13" t="s">
        <v>75</v>
      </c>
      <c r="B283" s="13" t="s">
        <v>76</v>
      </c>
      <c r="C283" s="13" t="s">
        <v>112</v>
      </c>
      <c r="D283" s="13" t="s">
        <v>69</v>
      </c>
      <c r="E283" s="13" t="s">
        <v>51</v>
      </c>
      <c r="F283" s="14" t="n">
        <v>62903</v>
      </c>
      <c r="G283" s="14" t="n">
        <v>81821</v>
      </c>
      <c r="H283" s="13" t="s">
        <v>52</v>
      </c>
      <c r="I283" s="14" t="n">
        <v>241137</v>
      </c>
      <c r="J283" s="14" t="n">
        <v>1733</v>
      </c>
      <c r="K283" s="14"/>
      <c r="L283" s="14"/>
      <c r="M283" s="14" t="n">
        <v>5</v>
      </c>
      <c r="N283" s="14" t="n">
        <v>801655</v>
      </c>
      <c r="O283" s="15"/>
      <c r="P283" s="13" t="s">
        <v>112</v>
      </c>
      <c r="Q283" s="13" t="s">
        <v>112</v>
      </c>
      <c r="R283" s="13" t="str">
        <f aca="false">TRIM(LEFT(A283,FIND("/",A283)-1))</f>
        <v>Traffic</v>
      </c>
      <c r="S283" s="13" t="str">
        <f aca="false">LEFT(C283,7)</f>
        <v>2026-08</v>
      </c>
    </row>
    <row r="284" customFormat="false" ht="15" hidden="false" customHeight="false" outlineLevel="0" collapsed="false">
      <c r="A284" s="13" t="s">
        <v>75</v>
      </c>
      <c r="B284" s="13" t="s">
        <v>77</v>
      </c>
      <c r="C284" s="13" t="s">
        <v>112</v>
      </c>
      <c r="D284" s="13" t="s">
        <v>69</v>
      </c>
      <c r="E284" s="13" t="s">
        <v>51</v>
      </c>
      <c r="F284" s="14" t="n">
        <v>2328</v>
      </c>
      <c r="G284" s="14" t="n">
        <v>2555</v>
      </c>
      <c r="H284" s="13" t="s">
        <v>52</v>
      </c>
      <c r="I284" s="14" t="n">
        <v>9362</v>
      </c>
      <c r="J284" s="14" t="n">
        <v>79</v>
      </c>
      <c r="K284" s="14"/>
      <c r="L284" s="14"/>
      <c r="M284" s="14"/>
      <c r="N284" s="14"/>
      <c r="O284" s="15"/>
      <c r="P284" s="13" t="s">
        <v>112</v>
      </c>
      <c r="Q284" s="13" t="s">
        <v>112</v>
      </c>
      <c r="R284" s="13" t="str">
        <f aca="false">TRIM(LEFT(A284,FIND("/",A284)-1))</f>
        <v>Traffic</v>
      </c>
      <c r="S284" s="13" t="str">
        <f aca="false">LEFT(C284,7)</f>
        <v>2026-08</v>
      </c>
    </row>
    <row r="285" customFormat="false" ht="15" hidden="false" customHeight="false" outlineLevel="0" collapsed="false">
      <c r="A285" s="13" t="s">
        <v>75</v>
      </c>
      <c r="B285" s="13" t="s">
        <v>79</v>
      </c>
      <c r="C285" s="13" t="s">
        <v>112</v>
      </c>
      <c r="D285" s="13" t="s">
        <v>69</v>
      </c>
      <c r="E285" s="13" t="s">
        <v>51</v>
      </c>
      <c r="F285" s="14" t="n">
        <v>8152</v>
      </c>
      <c r="G285" s="14" t="n">
        <v>8938</v>
      </c>
      <c r="H285" s="13" t="s">
        <v>52</v>
      </c>
      <c r="I285" s="14" t="n">
        <v>25744</v>
      </c>
      <c r="J285" s="14" t="n">
        <v>176</v>
      </c>
      <c r="K285" s="14"/>
      <c r="L285" s="14"/>
      <c r="M285" s="14"/>
      <c r="N285" s="14"/>
      <c r="O285" s="15"/>
      <c r="P285" s="13" t="s">
        <v>112</v>
      </c>
      <c r="Q285" s="13" t="s">
        <v>112</v>
      </c>
      <c r="R285" s="13" t="str">
        <f aca="false">TRIM(LEFT(A285,FIND("/",A285)-1))</f>
        <v>Traffic</v>
      </c>
      <c r="S285" s="13" t="str">
        <f aca="false">LEFT(C285,7)</f>
        <v>2026-08</v>
      </c>
    </row>
    <row r="286" customFormat="false" ht="15" hidden="false" customHeight="false" outlineLevel="0" collapsed="false">
      <c r="A286" s="13" t="s">
        <v>66</v>
      </c>
      <c r="B286" s="13" t="s">
        <v>67</v>
      </c>
      <c r="C286" s="13" t="s">
        <v>113</v>
      </c>
      <c r="D286" s="13" t="s">
        <v>69</v>
      </c>
      <c r="E286" s="13" t="s">
        <v>51</v>
      </c>
      <c r="F286" s="14" t="n">
        <v>93862</v>
      </c>
      <c r="G286" s="14" t="n">
        <v>94991</v>
      </c>
      <c r="H286" s="13" t="s">
        <v>52</v>
      </c>
      <c r="I286" s="14" t="n">
        <v>124868</v>
      </c>
      <c r="J286" s="14" t="n">
        <v>22</v>
      </c>
      <c r="K286" s="14"/>
      <c r="L286" s="14"/>
      <c r="M286" s="14"/>
      <c r="N286" s="14"/>
      <c r="O286" s="15"/>
      <c r="P286" s="13" t="s">
        <v>113</v>
      </c>
      <c r="Q286" s="13" t="s">
        <v>113</v>
      </c>
      <c r="R286" s="13" t="str">
        <f aca="false">TRIM(LEFT(A286,FIND("/",A286)-1))</f>
        <v>Awareness</v>
      </c>
      <c r="S286" s="13" t="str">
        <f aca="false">LEFT(C286,7)</f>
        <v>2026-08</v>
      </c>
    </row>
    <row r="287" customFormat="false" ht="15" hidden="false" customHeight="false" outlineLevel="0" collapsed="false">
      <c r="A287" s="13" t="s">
        <v>66</v>
      </c>
      <c r="B287" s="13" t="s">
        <v>70</v>
      </c>
      <c r="C287" s="13" t="s">
        <v>113</v>
      </c>
      <c r="D287" s="13" t="s">
        <v>69</v>
      </c>
      <c r="E287" s="13" t="s">
        <v>51</v>
      </c>
      <c r="F287" s="14" t="n">
        <v>19266</v>
      </c>
      <c r="G287" s="14" t="n">
        <v>19822</v>
      </c>
      <c r="H287" s="13" t="s">
        <v>52</v>
      </c>
      <c r="I287" s="14" t="n">
        <v>25189</v>
      </c>
      <c r="J287" s="14" t="n">
        <v>1</v>
      </c>
      <c r="K287" s="14"/>
      <c r="L287" s="14"/>
      <c r="M287" s="14"/>
      <c r="N287" s="14"/>
      <c r="O287" s="15"/>
      <c r="P287" s="13" t="s">
        <v>113</v>
      </c>
      <c r="Q287" s="13" t="s">
        <v>113</v>
      </c>
      <c r="R287" s="13" t="str">
        <f aca="false">TRIM(LEFT(A287,FIND("/",A287)-1))</f>
        <v>Awareness</v>
      </c>
      <c r="S287" s="13" t="str">
        <f aca="false">LEFT(C287,7)</f>
        <v>2026-08</v>
      </c>
    </row>
    <row r="288" customFormat="false" ht="15" hidden="false" customHeight="false" outlineLevel="0" collapsed="false">
      <c r="A288" s="13" t="s">
        <v>66</v>
      </c>
      <c r="B288" s="13" t="s">
        <v>71</v>
      </c>
      <c r="C288" s="13" t="s">
        <v>113</v>
      </c>
      <c r="D288" s="13" t="s">
        <v>69</v>
      </c>
      <c r="E288" s="13" t="s">
        <v>51</v>
      </c>
      <c r="F288" s="14" t="n">
        <v>1143</v>
      </c>
      <c r="G288" s="14" t="n">
        <v>1147</v>
      </c>
      <c r="H288" s="13" t="s">
        <v>52</v>
      </c>
      <c r="I288" s="14" t="n">
        <v>1443</v>
      </c>
      <c r="J288" s="14" t="n">
        <v>1</v>
      </c>
      <c r="K288" s="14"/>
      <c r="L288" s="14"/>
      <c r="M288" s="14"/>
      <c r="N288" s="14"/>
      <c r="O288" s="15"/>
      <c r="P288" s="13" t="s">
        <v>113</v>
      </c>
      <c r="Q288" s="13" t="s">
        <v>113</v>
      </c>
      <c r="R288" s="13" t="str">
        <f aca="false">TRIM(LEFT(A288,FIND("/",A288)-1))</f>
        <v>Awareness</v>
      </c>
      <c r="S288" s="13" t="str">
        <f aca="false">LEFT(C288,7)</f>
        <v>2026-08</v>
      </c>
    </row>
    <row r="289" customFormat="false" ht="15" hidden="false" customHeight="false" outlineLevel="0" collapsed="false">
      <c r="A289" s="13" t="s">
        <v>73</v>
      </c>
      <c r="B289" s="13" t="s">
        <v>74</v>
      </c>
      <c r="C289" s="13" t="s">
        <v>113</v>
      </c>
      <c r="D289" s="13" t="s">
        <v>69</v>
      </c>
      <c r="E289" s="13" t="s">
        <v>51</v>
      </c>
      <c r="F289" s="14" t="n">
        <v>8810</v>
      </c>
      <c r="G289" s="14" t="n">
        <v>10236</v>
      </c>
      <c r="H289" s="13" t="s">
        <v>52</v>
      </c>
      <c r="I289" s="14" t="n">
        <v>243714</v>
      </c>
      <c r="J289" s="14" t="n">
        <v>316</v>
      </c>
      <c r="K289" s="14" t="n">
        <v>3</v>
      </c>
      <c r="L289" s="14" t="n">
        <v>493640</v>
      </c>
      <c r="M289" s="14" t="n">
        <v>28</v>
      </c>
      <c r="N289" s="14" t="n">
        <v>4745533</v>
      </c>
      <c r="O289" s="15" t="n">
        <v>2.02548889</v>
      </c>
      <c r="P289" s="13" t="s">
        <v>113</v>
      </c>
      <c r="Q289" s="13" t="s">
        <v>113</v>
      </c>
      <c r="R289" s="13" t="str">
        <f aca="false">TRIM(LEFT(A289,FIND("/",A289)-1))</f>
        <v>Sales</v>
      </c>
      <c r="S289" s="13" t="str">
        <f aca="false">LEFT(C289,7)</f>
        <v>2026-08</v>
      </c>
    </row>
    <row r="290" customFormat="false" ht="15" hidden="false" customHeight="false" outlineLevel="0" collapsed="false">
      <c r="A290" s="13" t="s">
        <v>93</v>
      </c>
      <c r="B290" s="13" t="s">
        <v>94</v>
      </c>
      <c r="C290" s="13" t="s">
        <v>113</v>
      </c>
      <c r="D290" s="13" t="s">
        <v>50</v>
      </c>
      <c r="E290" s="13" t="s">
        <v>51</v>
      </c>
      <c r="F290" s="14" t="n">
        <v>108</v>
      </c>
      <c r="G290" s="14" t="n">
        <v>152</v>
      </c>
      <c r="H290" s="13" t="s">
        <v>52</v>
      </c>
      <c r="I290" s="14" t="n">
        <v>5523</v>
      </c>
      <c r="J290" s="14" t="n">
        <v>1</v>
      </c>
      <c r="K290" s="14"/>
      <c r="L290" s="14"/>
      <c r="M290" s="14" t="n">
        <v>1</v>
      </c>
      <c r="N290" s="14" t="n">
        <v>161967</v>
      </c>
      <c r="O290" s="15"/>
      <c r="P290" s="13" t="s">
        <v>113</v>
      </c>
      <c r="Q290" s="13" t="s">
        <v>113</v>
      </c>
      <c r="R290" s="13" t="str">
        <f aca="false">TRIM(LEFT(A290,FIND("/",A290)-1))</f>
        <v>Sales</v>
      </c>
      <c r="S290" s="13" t="str">
        <f aca="false">LEFT(C290,7)</f>
        <v>2026-08</v>
      </c>
    </row>
    <row r="291" customFormat="false" ht="15" hidden="false" customHeight="false" outlineLevel="0" collapsed="false">
      <c r="A291" s="13" t="s">
        <v>93</v>
      </c>
      <c r="B291" s="13" t="s">
        <v>95</v>
      </c>
      <c r="C291" s="13" t="s">
        <v>113</v>
      </c>
      <c r="D291" s="13" t="s">
        <v>50</v>
      </c>
      <c r="E291" s="13" t="s">
        <v>51</v>
      </c>
      <c r="F291" s="14" t="n">
        <v>6382</v>
      </c>
      <c r="G291" s="14" t="n">
        <v>13749</v>
      </c>
      <c r="H291" s="13" t="s">
        <v>52</v>
      </c>
      <c r="I291" s="14" t="n">
        <v>186047</v>
      </c>
      <c r="J291" s="14" t="n">
        <v>228</v>
      </c>
      <c r="K291" s="14"/>
      <c r="L291" s="14"/>
      <c r="M291" s="14" t="n">
        <v>3</v>
      </c>
      <c r="N291" s="14" t="n">
        <v>410758</v>
      </c>
      <c r="O291" s="15"/>
      <c r="P291" s="13" t="s">
        <v>113</v>
      </c>
      <c r="Q291" s="13" t="s">
        <v>113</v>
      </c>
      <c r="R291" s="13" t="str">
        <f aca="false">TRIM(LEFT(A291,FIND("/",A291)-1))</f>
        <v>Sales</v>
      </c>
      <c r="S291" s="13" t="str">
        <f aca="false">LEFT(C291,7)</f>
        <v>2026-08</v>
      </c>
    </row>
    <row r="292" customFormat="false" ht="15" hidden="false" customHeight="false" outlineLevel="0" collapsed="false">
      <c r="A292" s="13" t="s">
        <v>75</v>
      </c>
      <c r="B292" s="13" t="s">
        <v>76</v>
      </c>
      <c r="C292" s="13" t="s">
        <v>113</v>
      </c>
      <c r="D292" s="13" t="s">
        <v>69</v>
      </c>
      <c r="E292" s="13" t="s">
        <v>51</v>
      </c>
      <c r="F292" s="14" t="n">
        <v>68516</v>
      </c>
      <c r="G292" s="14" t="n">
        <v>93607</v>
      </c>
      <c r="H292" s="13" t="s">
        <v>52</v>
      </c>
      <c r="I292" s="14" t="n">
        <v>310826</v>
      </c>
      <c r="J292" s="14" t="n">
        <v>2037</v>
      </c>
      <c r="K292" s="14"/>
      <c r="L292" s="14"/>
      <c r="M292" s="14" t="n">
        <v>2</v>
      </c>
      <c r="N292" s="14" t="n">
        <v>311157</v>
      </c>
      <c r="O292" s="15"/>
      <c r="P292" s="13" t="s">
        <v>113</v>
      </c>
      <c r="Q292" s="13" t="s">
        <v>113</v>
      </c>
      <c r="R292" s="13" t="str">
        <f aca="false">TRIM(LEFT(A292,FIND("/",A292)-1))</f>
        <v>Traffic</v>
      </c>
      <c r="S292" s="13" t="str">
        <f aca="false">LEFT(C292,7)</f>
        <v>2026-08</v>
      </c>
    </row>
    <row r="293" customFormat="false" ht="15" hidden="false" customHeight="false" outlineLevel="0" collapsed="false">
      <c r="A293" s="13" t="s">
        <v>75</v>
      </c>
      <c r="B293" s="13" t="s">
        <v>77</v>
      </c>
      <c r="C293" s="13" t="s">
        <v>113</v>
      </c>
      <c r="D293" s="13" t="s">
        <v>69</v>
      </c>
      <c r="E293" s="13" t="s">
        <v>51</v>
      </c>
      <c r="F293" s="14" t="n">
        <v>753</v>
      </c>
      <c r="G293" s="14" t="n">
        <v>779</v>
      </c>
      <c r="H293" s="13" t="s">
        <v>52</v>
      </c>
      <c r="I293" s="14" t="n">
        <v>3290</v>
      </c>
      <c r="J293" s="14" t="n">
        <v>26</v>
      </c>
      <c r="K293" s="14"/>
      <c r="L293" s="14"/>
      <c r="M293" s="14"/>
      <c r="N293" s="14"/>
      <c r="O293" s="15"/>
      <c r="P293" s="13" t="s">
        <v>113</v>
      </c>
      <c r="Q293" s="13" t="s">
        <v>113</v>
      </c>
      <c r="R293" s="13" t="str">
        <f aca="false">TRIM(LEFT(A293,FIND("/",A293)-1))</f>
        <v>Traffic</v>
      </c>
      <c r="S293" s="13" t="str">
        <f aca="false">LEFT(C293,7)</f>
        <v>2026-08</v>
      </c>
    </row>
    <row r="294" customFormat="false" ht="15" hidden="false" customHeight="false" outlineLevel="0" collapsed="false">
      <c r="A294" s="13" t="s">
        <v>75</v>
      </c>
      <c r="B294" s="13" t="s">
        <v>79</v>
      </c>
      <c r="C294" s="13" t="s">
        <v>113</v>
      </c>
      <c r="D294" s="13" t="s">
        <v>69</v>
      </c>
      <c r="E294" s="13" t="s">
        <v>51</v>
      </c>
      <c r="F294" s="14" t="n">
        <v>6642</v>
      </c>
      <c r="G294" s="14" t="n">
        <v>6845</v>
      </c>
      <c r="H294" s="13" t="s">
        <v>52</v>
      </c>
      <c r="I294" s="14" t="n">
        <v>18070</v>
      </c>
      <c r="J294" s="14" t="n">
        <v>127</v>
      </c>
      <c r="K294" s="14"/>
      <c r="L294" s="14"/>
      <c r="M294" s="14"/>
      <c r="N294" s="14"/>
      <c r="O294" s="15"/>
      <c r="P294" s="13" t="s">
        <v>113</v>
      </c>
      <c r="Q294" s="13" t="s">
        <v>113</v>
      </c>
      <c r="R294" s="13" t="str">
        <f aca="false">TRIM(LEFT(A294,FIND("/",A294)-1))</f>
        <v>Traffic</v>
      </c>
      <c r="S294" s="13" t="str">
        <f aca="false">LEFT(C294,7)</f>
        <v>2026-08</v>
      </c>
    </row>
    <row r="295" customFormat="false" ht="15" hidden="false" customHeight="false" outlineLevel="0" collapsed="false">
      <c r="A295" s="13" t="s">
        <v>66</v>
      </c>
      <c r="B295" s="13" t="s">
        <v>67</v>
      </c>
      <c r="C295" s="13" t="s">
        <v>114</v>
      </c>
      <c r="D295" s="13" t="s">
        <v>69</v>
      </c>
      <c r="E295" s="13" t="s">
        <v>51</v>
      </c>
      <c r="F295" s="14" t="n">
        <v>84297</v>
      </c>
      <c r="G295" s="14" t="n">
        <v>84297</v>
      </c>
      <c r="H295" s="13" t="s">
        <v>52</v>
      </c>
      <c r="I295" s="14" t="n">
        <v>108484</v>
      </c>
      <c r="J295" s="14" t="n">
        <v>14</v>
      </c>
      <c r="K295" s="14"/>
      <c r="L295" s="14"/>
      <c r="M295" s="14"/>
      <c r="N295" s="14"/>
      <c r="O295" s="15"/>
      <c r="P295" s="13" t="s">
        <v>114</v>
      </c>
      <c r="Q295" s="13" t="s">
        <v>114</v>
      </c>
      <c r="R295" s="13" t="str">
        <f aca="false">TRIM(LEFT(A295,FIND("/",A295)-1))</f>
        <v>Awareness</v>
      </c>
      <c r="S295" s="13" t="str">
        <f aca="false">LEFT(C295,7)</f>
        <v>2026-08</v>
      </c>
    </row>
    <row r="296" customFormat="false" ht="15" hidden="false" customHeight="false" outlineLevel="0" collapsed="false">
      <c r="A296" s="13" t="s">
        <v>66</v>
      </c>
      <c r="B296" s="13" t="s">
        <v>70</v>
      </c>
      <c r="C296" s="13" t="s">
        <v>114</v>
      </c>
      <c r="D296" s="13" t="s">
        <v>69</v>
      </c>
      <c r="E296" s="13" t="s">
        <v>51</v>
      </c>
      <c r="F296" s="14" t="n">
        <v>45045</v>
      </c>
      <c r="G296" s="14" t="n">
        <v>45045</v>
      </c>
      <c r="H296" s="13" t="s">
        <v>52</v>
      </c>
      <c r="I296" s="14" t="n">
        <v>56222</v>
      </c>
      <c r="J296" s="14" t="n">
        <v>6</v>
      </c>
      <c r="K296" s="14"/>
      <c r="L296" s="14"/>
      <c r="M296" s="14"/>
      <c r="N296" s="14"/>
      <c r="O296" s="15"/>
      <c r="P296" s="13" t="s">
        <v>114</v>
      </c>
      <c r="Q296" s="13" t="s">
        <v>114</v>
      </c>
      <c r="R296" s="13" t="str">
        <f aca="false">TRIM(LEFT(A296,FIND("/",A296)-1))</f>
        <v>Awareness</v>
      </c>
      <c r="S296" s="13" t="str">
        <f aca="false">LEFT(C296,7)</f>
        <v>2026-08</v>
      </c>
    </row>
    <row r="297" customFormat="false" ht="15" hidden="false" customHeight="false" outlineLevel="0" collapsed="false">
      <c r="A297" s="13" t="s">
        <v>66</v>
      </c>
      <c r="B297" s="13" t="s">
        <v>71</v>
      </c>
      <c r="C297" s="13" t="s">
        <v>114</v>
      </c>
      <c r="D297" s="13" t="s">
        <v>69</v>
      </c>
      <c r="E297" s="13" t="s">
        <v>51</v>
      </c>
      <c r="F297" s="14" t="n">
        <v>1028</v>
      </c>
      <c r="G297" s="14" t="n">
        <v>1030</v>
      </c>
      <c r="H297" s="13" t="s">
        <v>52</v>
      </c>
      <c r="I297" s="14" t="n">
        <v>1255</v>
      </c>
      <c r="J297" s="14"/>
      <c r="K297" s="14"/>
      <c r="L297" s="14"/>
      <c r="M297" s="14"/>
      <c r="N297" s="14"/>
      <c r="O297" s="15"/>
      <c r="P297" s="13" t="s">
        <v>114</v>
      </c>
      <c r="Q297" s="13" t="s">
        <v>114</v>
      </c>
      <c r="R297" s="13" t="str">
        <f aca="false">TRIM(LEFT(A297,FIND("/",A297)-1))</f>
        <v>Awareness</v>
      </c>
      <c r="S297" s="13" t="str">
        <f aca="false">LEFT(C297,7)</f>
        <v>2026-08</v>
      </c>
    </row>
    <row r="298" customFormat="false" ht="15" hidden="false" customHeight="false" outlineLevel="0" collapsed="false">
      <c r="A298" s="13" t="s">
        <v>73</v>
      </c>
      <c r="B298" s="13" t="s">
        <v>74</v>
      </c>
      <c r="C298" s="13" t="s">
        <v>114</v>
      </c>
      <c r="D298" s="13" t="s">
        <v>69</v>
      </c>
      <c r="E298" s="13" t="s">
        <v>51</v>
      </c>
      <c r="F298" s="14" t="n">
        <v>8049</v>
      </c>
      <c r="G298" s="14" t="n">
        <v>9788</v>
      </c>
      <c r="H298" s="13" t="s">
        <v>52</v>
      </c>
      <c r="I298" s="14" t="n">
        <v>192067</v>
      </c>
      <c r="J298" s="14" t="n">
        <v>242</v>
      </c>
      <c r="K298" s="14" t="n">
        <v>4</v>
      </c>
      <c r="L298" s="14" t="n">
        <v>994613</v>
      </c>
      <c r="M298" s="14" t="n">
        <v>26</v>
      </c>
      <c r="N298" s="14" t="n">
        <v>4491418</v>
      </c>
      <c r="O298" s="15" t="n">
        <v>5.17846897</v>
      </c>
      <c r="P298" s="13" t="s">
        <v>114</v>
      </c>
      <c r="Q298" s="13" t="s">
        <v>114</v>
      </c>
      <c r="R298" s="13" t="str">
        <f aca="false">TRIM(LEFT(A298,FIND("/",A298)-1))</f>
        <v>Sales</v>
      </c>
      <c r="S298" s="13" t="str">
        <f aca="false">LEFT(C298,7)</f>
        <v>2026-08</v>
      </c>
    </row>
    <row r="299" customFormat="false" ht="15" hidden="false" customHeight="false" outlineLevel="0" collapsed="false">
      <c r="A299" s="13" t="s">
        <v>93</v>
      </c>
      <c r="B299" s="13" t="s">
        <v>94</v>
      </c>
      <c r="C299" s="13" t="s">
        <v>114</v>
      </c>
      <c r="D299" s="13" t="s">
        <v>50</v>
      </c>
      <c r="E299" s="13" t="s">
        <v>51</v>
      </c>
      <c r="F299" s="14" t="n">
        <v>70</v>
      </c>
      <c r="G299" s="14" t="n">
        <v>83</v>
      </c>
      <c r="H299" s="13" t="s">
        <v>52</v>
      </c>
      <c r="I299" s="14" t="n">
        <v>2153</v>
      </c>
      <c r="J299" s="14"/>
      <c r="K299" s="14"/>
      <c r="L299" s="14"/>
      <c r="M299" s="14"/>
      <c r="N299" s="14"/>
      <c r="O299" s="15"/>
      <c r="P299" s="13" t="s">
        <v>114</v>
      </c>
      <c r="Q299" s="13" t="s">
        <v>114</v>
      </c>
      <c r="R299" s="13" t="str">
        <f aca="false">TRIM(LEFT(A299,FIND("/",A299)-1))</f>
        <v>Sales</v>
      </c>
      <c r="S299" s="13" t="str">
        <f aca="false">LEFT(C299,7)</f>
        <v>2026-08</v>
      </c>
    </row>
    <row r="300" customFormat="false" ht="15" hidden="false" customHeight="false" outlineLevel="0" collapsed="false">
      <c r="A300" s="13" t="s">
        <v>93</v>
      </c>
      <c r="B300" s="13" t="s">
        <v>95</v>
      </c>
      <c r="C300" s="13" t="s">
        <v>114</v>
      </c>
      <c r="D300" s="13" t="s">
        <v>50</v>
      </c>
      <c r="E300" s="13" t="s">
        <v>51</v>
      </c>
      <c r="F300" s="14" t="n">
        <v>4912</v>
      </c>
      <c r="G300" s="14" t="n">
        <v>10689</v>
      </c>
      <c r="H300" s="13" t="s">
        <v>52</v>
      </c>
      <c r="I300" s="14" t="n">
        <v>157888</v>
      </c>
      <c r="J300" s="14" t="n">
        <v>136</v>
      </c>
      <c r="K300" s="14"/>
      <c r="L300" s="14"/>
      <c r="M300" s="14" t="n">
        <v>11</v>
      </c>
      <c r="N300" s="14" t="n">
        <v>1888712</v>
      </c>
      <c r="O300" s="15"/>
      <c r="P300" s="13" t="s">
        <v>114</v>
      </c>
      <c r="Q300" s="13" t="s">
        <v>114</v>
      </c>
      <c r="R300" s="13" t="str">
        <f aca="false">TRIM(LEFT(A300,FIND("/",A300)-1))</f>
        <v>Sales</v>
      </c>
      <c r="S300" s="13" t="str">
        <f aca="false">LEFT(C300,7)</f>
        <v>2026-08</v>
      </c>
    </row>
    <row r="301" customFormat="false" ht="15" hidden="false" customHeight="false" outlineLevel="0" collapsed="false">
      <c r="A301" s="13" t="s">
        <v>75</v>
      </c>
      <c r="B301" s="13" t="s">
        <v>76</v>
      </c>
      <c r="C301" s="13" t="s">
        <v>114</v>
      </c>
      <c r="D301" s="13" t="s">
        <v>69</v>
      </c>
      <c r="E301" s="13" t="s">
        <v>51</v>
      </c>
      <c r="F301" s="14" t="n">
        <v>74474</v>
      </c>
      <c r="G301" s="14" t="n">
        <v>103516</v>
      </c>
      <c r="H301" s="13" t="s">
        <v>52</v>
      </c>
      <c r="I301" s="14" t="n">
        <v>312106</v>
      </c>
      <c r="J301" s="14" t="n">
        <v>2104</v>
      </c>
      <c r="K301" s="14"/>
      <c r="L301" s="14"/>
      <c r="M301" s="14" t="n">
        <v>5</v>
      </c>
      <c r="N301" s="14" t="n">
        <v>880249</v>
      </c>
      <c r="O301" s="15"/>
      <c r="P301" s="13" t="s">
        <v>114</v>
      </c>
      <c r="Q301" s="13" t="s">
        <v>114</v>
      </c>
      <c r="R301" s="13" t="str">
        <f aca="false">TRIM(LEFT(A301,FIND("/",A301)-1))</f>
        <v>Traffic</v>
      </c>
      <c r="S301" s="13" t="str">
        <f aca="false">LEFT(C301,7)</f>
        <v>2026-08</v>
      </c>
    </row>
    <row r="302" customFormat="false" ht="15" hidden="false" customHeight="false" outlineLevel="0" collapsed="false">
      <c r="A302" s="13" t="s">
        <v>75</v>
      </c>
      <c r="B302" s="13" t="s">
        <v>77</v>
      </c>
      <c r="C302" s="13" t="s">
        <v>114</v>
      </c>
      <c r="D302" s="13" t="s">
        <v>69</v>
      </c>
      <c r="E302" s="13" t="s">
        <v>51</v>
      </c>
      <c r="F302" s="14" t="n">
        <v>387</v>
      </c>
      <c r="G302" s="14" t="n">
        <v>392</v>
      </c>
      <c r="H302" s="13" t="s">
        <v>52</v>
      </c>
      <c r="I302" s="14" t="n">
        <v>1612</v>
      </c>
      <c r="J302" s="14" t="n">
        <v>12</v>
      </c>
      <c r="K302" s="14"/>
      <c r="L302" s="14"/>
      <c r="M302" s="14"/>
      <c r="N302" s="14"/>
      <c r="O302" s="15"/>
      <c r="P302" s="13" t="s">
        <v>114</v>
      </c>
      <c r="Q302" s="13" t="s">
        <v>114</v>
      </c>
      <c r="R302" s="13" t="str">
        <f aca="false">TRIM(LEFT(A302,FIND("/",A302)-1))</f>
        <v>Traffic</v>
      </c>
      <c r="S302" s="13" t="str">
        <f aca="false">LEFT(C302,7)</f>
        <v>2026-08</v>
      </c>
    </row>
    <row r="303" customFormat="false" ht="15" hidden="false" customHeight="false" outlineLevel="0" collapsed="false">
      <c r="A303" s="13" t="s">
        <v>75</v>
      </c>
      <c r="B303" s="13" t="s">
        <v>79</v>
      </c>
      <c r="C303" s="13" t="s">
        <v>114</v>
      </c>
      <c r="D303" s="13" t="s">
        <v>69</v>
      </c>
      <c r="E303" s="13" t="s">
        <v>51</v>
      </c>
      <c r="F303" s="14" t="n">
        <v>2309</v>
      </c>
      <c r="G303" s="14" t="n">
        <v>2389</v>
      </c>
      <c r="H303" s="13" t="s">
        <v>52</v>
      </c>
      <c r="I303" s="14" t="n">
        <v>6684</v>
      </c>
      <c r="J303" s="14" t="n">
        <v>40</v>
      </c>
      <c r="K303" s="14"/>
      <c r="L303" s="14"/>
      <c r="M303" s="14"/>
      <c r="N303" s="14"/>
      <c r="O303" s="15"/>
      <c r="P303" s="13" t="s">
        <v>114</v>
      </c>
      <c r="Q303" s="13" t="s">
        <v>114</v>
      </c>
      <c r="R303" s="13" t="str">
        <f aca="false">TRIM(LEFT(A303,FIND("/",A303)-1))</f>
        <v>Traffic</v>
      </c>
      <c r="S303" s="13" t="str">
        <f aca="false">LEFT(C303,7)</f>
        <v>2026-08</v>
      </c>
    </row>
    <row r="304" customFormat="false" ht="15" hidden="false" customHeight="false" outlineLevel="0" collapsed="false">
      <c r="A304" s="13" t="s">
        <v>66</v>
      </c>
      <c r="B304" s="13" t="s">
        <v>67</v>
      </c>
      <c r="C304" s="13" t="s">
        <v>115</v>
      </c>
      <c r="D304" s="13" t="s">
        <v>69</v>
      </c>
      <c r="E304" s="13" t="s">
        <v>51</v>
      </c>
      <c r="F304" s="14" t="n">
        <v>71536</v>
      </c>
      <c r="G304" s="14" t="n">
        <v>72641</v>
      </c>
      <c r="H304" s="13" t="s">
        <v>52</v>
      </c>
      <c r="I304" s="14" t="n">
        <v>89591</v>
      </c>
      <c r="J304" s="14" t="n">
        <v>6</v>
      </c>
      <c r="K304" s="14"/>
      <c r="L304" s="14"/>
      <c r="M304" s="14"/>
      <c r="N304" s="14"/>
      <c r="O304" s="15"/>
      <c r="P304" s="13" t="s">
        <v>115</v>
      </c>
      <c r="Q304" s="13" t="s">
        <v>115</v>
      </c>
      <c r="R304" s="13" t="str">
        <f aca="false">TRIM(LEFT(A304,FIND("/",A304)-1))</f>
        <v>Awareness</v>
      </c>
      <c r="S304" s="13" t="str">
        <f aca="false">LEFT(C304,7)</f>
        <v>2026-08</v>
      </c>
    </row>
    <row r="305" customFormat="false" ht="15" hidden="false" customHeight="false" outlineLevel="0" collapsed="false">
      <c r="A305" s="13" t="s">
        <v>66</v>
      </c>
      <c r="B305" s="13" t="s">
        <v>70</v>
      </c>
      <c r="C305" s="13" t="s">
        <v>115</v>
      </c>
      <c r="D305" s="13" t="s">
        <v>69</v>
      </c>
      <c r="E305" s="13" t="s">
        <v>51</v>
      </c>
      <c r="F305" s="14" t="n">
        <v>37291</v>
      </c>
      <c r="G305" s="14" t="n">
        <v>37851</v>
      </c>
      <c r="H305" s="13" t="s">
        <v>52</v>
      </c>
      <c r="I305" s="14" t="n">
        <v>45898</v>
      </c>
      <c r="J305" s="14" t="n">
        <v>5</v>
      </c>
      <c r="K305" s="14"/>
      <c r="L305" s="14"/>
      <c r="M305" s="14"/>
      <c r="N305" s="14"/>
      <c r="O305" s="15"/>
      <c r="P305" s="13" t="s">
        <v>115</v>
      </c>
      <c r="Q305" s="13" t="s">
        <v>115</v>
      </c>
      <c r="R305" s="13" t="str">
        <f aca="false">TRIM(LEFT(A305,FIND("/",A305)-1))</f>
        <v>Awareness</v>
      </c>
      <c r="S305" s="13" t="str">
        <f aca="false">LEFT(C305,7)</f>
        <v>2026-08</v>
      </c>
    </row>
    <row r="306" customFormat="false" ht="15" hidden="false" customHeight="false" outlineLevel="0" collapsed="false">
      <c r="A306" s="13" t="s">
        <v>66</v>
      </c>
      <c r="B306" s="13" t="s">
        <v>71</v>
      </c>
      <c r="C306" s="13" t="s">
        <v>115</v>
      </c>
      <c r="D306" s="13" t="s">
        <v>69</v>
      </c>
      <c r="E306" s="13" t="s">
        <v>51</v>
      </c>
      <c r="F306" s="14" t="n">
        <v>5194</v>
      </c>
      <c r="G306" s="14" t="n">
        <v>5316</v>
      </c>
      <c r="H306" s="13" t="s">
        <v>52</v>
      </c>
      <c r="I306" s="14" t="n">
        <v>6446</v>
      </c>
      <c r="J306" s="14" t="n">
        <v>4</v>
      </c>
      <c r="K306" s="14"/>
      <c r="L306" s="14"/>
      <c r="M306" s="14"/>
      <c r="N306" s="14"/>
      <c r="O306" s="15"/>
      <c r="P306" s="13" t="s">
        <v>115</v>
      </c>
      <c r="Q306" s="13" t="s">
        <v>115</v>
      </c>
      <c r="R306" s="13" t="str">
        <f aca="false">TRIM(LEFT(A306,FIND("/",A306)-1))</f>
        <v>Awareness</v>
      </c>
      <c r="S306" s="13" t="str">
        <f aca="false">LEFT(C306,7)</f>
        <v>2026-08</v>
      </c>
    </row>
    <row r="307" customFormat="false" ht="15" hidden="false" customHeight="false" outlineLevel="0" collapsed="false">
      <c r="A307" s="13" t="s">
        <v>73</v>
      </c>
      <c r="B307" s="13" t="s">
        <v>74</v>
      </c>
      <c r="C307" s="13" t="s">
        <v>115</v>
      </c>
      <c r="D307" s="13" t="s">
        <v>69</v>
      </c>
      <c r="E307" s="13" t="s">
        <v>51</v>
      </c>
      <c r="F307" s="14" t="n">
        <v>7947</v>
      </c>
      <c r="G307" s="14" t="n">
        <v>8965</v>
      </c>
      <c r="H307" s="13" t="s">
        <v>52</v>
      </c>
      <c r="I307" s="14" t="n">
        <v>158741</v>
      </c>
      <c r="J307" s="14" t="n">
        <v>222</v>
      </c>
      <c r="K307" s="14"/>
      <c r="L307" s="14"/>
      <c r="M307" s="14" t="n">
        <v>17</v>
      </c>
      <c r="N307" s="14" t="n">
        <v>2458635</v>
      </c>
      <c r="O307" s="15"/>
      <c r="P307" s="13" t="s">
        <v>115</v>
      </c>
      <c r="Q307" s="13" t="s">
        <v>115</v>
      </c>
      <c r="R307" s="13" t="str">
        <f aca="false">TRIM(LEFT(A307,FIND("/",A307)-1))</f>
        <v>Sales</v>
      </c>
      <c r="S307" s="13" t="str">
        <f aca="false">LEFT(C307,7)</f>
        <v>2026-08</v>
      </c>
    </row>
    <row r="308" customFormat="false" ht="15" hidden="false" customHeight="false" outlineLevel="0" collapsed="false">
      <c r="A308" s="13" t="s">
        <v>93</v>
      </c>
      <c r="B308" s="13" t="s">
        <v>94</v>
      </c>
      <c r="C308" s="13" t="s">
        <v>115</v>
      </c>
      <c r="D308" s="13" t="s">
        <v>50</v>
      </c>
      <c r="E308" s="13" t="s">
        <v>51</v>
      </c>
      <c r="F308" s="14" t="n">
        <v>22</v>
      </c>
      <c r="G308" s="14" t="n">
        <v>25</v>
      </c>
      <c r="H308" s="13" t="s">
        <v>52</v>
      </c>
      <c r="I308" s="14" t="n">
        <v>712</v>
      </c>
      <c r="J308" s="14"/>
      <c r="K308" s="14"/>
      <c r="L308" s="14"/>
      <c r="M308" s="14"/>
      <c r="N308" s="14"/>
      <c r="O308" s="15"/>
      <c r="P308" s="13" t="s">
        <v>115</v>
      </c>
      <c r="Q308" s="13" t="s">
        <v>115</v>
      </c>
      <c r="R308" s="13" t="str">
        <f aca="false">TRIM(LEFT(A308,FIND("/",A308)-1))</f>
        <v>Sales</v>
      </c>
      <c r="S308" s="13" t="str">
        <f aca="false">LEFT(C308,7)</f>
        <v>2026-08</v>
      </c>
    </row>
    <row r="309" customFormat="false" ht="15" hidden="false" customHeight="false" outlineLevel="0" collapsed="false">
      <c r="A309" s="13" t="s">
        <v>93</v>
      </c>
      <c r="B309" s="13" t="s">
        <v>95</v>
      </c>
      <c r="C309" s="13" t="s">
        <v>115</v>
      </c>
      <c r="D309" s="13" t="s">
        <v>50</v>
      </c>
      <c r="E309" s="13" t="s">
        <v>51</v>
      </c>
      <c r="F309" s="14" t="n">
        <v>2174</v>
      </c>
      <c r="G309" s="14" t="n">
        <v>3206</v>
      </c>
      <c r="H309" s="13" t="s">
        <v>52</v>
      </c>
      <c r="I309" s="14" t="n">
        <v>45803</v>
      </c>
      <c r="J309" s="14" t="n">
        <v>62</v>
      </c>
      <c r="K309" s="14"/>
      <c r="L309" s="14"/>
      <c r="M309" s="14" t="n">
        <v>3</v>
      </c>
      <c r="N309" s="14" t="n">
        <v>529210</v>
      </c>
      <c r="O309" s="15"/>
      <c r="P309" s="13" t="s">
        <v>115</v>
      </c>
      <c r="Q309" s="13" t="s">
        <v>115</v>
      </c>
      <c r="R309" s="13" t="str">
        <f aca="false">TRIM(LEFT(A309,FIND("/",A309)-1))</f>
        <v>Sales</v>
      </c>
      <c r="S309" s="13" t="str">
        <f aca="false">LEFT(C309,7)</f>
        <v>2026-08</v>
      </c>
    </row>
    <row r="310" customFormat="false" ht="15" hidden="false" customHeight="false" outlineLevel="0" collapsed="false">
      <c r="A310" s="13" t="s">
        <v>75</v>
      </c>
      <c r="B310" s="13" t="s">
        <v>76</v>
      </c>
      <c r="C310" s="13" t="s">
        <v>115</v>
      </c>
      <c r="D310" s="13" t="s">
        <v>69</v>
      </c>
      <c r="E310" s="13" t="s">
        <v>51</v>
      </c>
      <c r="F310" s="14" t="n">
        <v>68729</v>
      </c>
      <c r="G310" s="14" t="n">
        <v>95697</v>
      </c>
      <c r="H310" s="13" t="s">
        <v>52</v>
      </c>
      <c r="I310" s="14" t="n">
        <v>297914</v>
      </c>
      <c r="J310" s="14" t="n">
        <v>2062</v>
      </c>
      <c r="K310" s="14"/>
      <c r="L310" s="14"/>
      <c r="M310" s="14" t="n">
        <v>4</v>
      </c>
      <c r="N310" s="14" t="n">
        <v>469435</v>
      </c>
      <c r="O310" s="15"/>
      <c r="P310" s="13" t="s">
        <v>115</v>
      </c>
      <c r="Q310" s="13" t="s">
        <v>115</v>
      </c>
      <c r="R310" s="13" t="str">
        <f aca="false">TRIM(LEFT(A310,FIND("/",A310)-1))</f>
        <v>Traffic</v>
      </c>
      <c r="S310" s="13" t="str">
        <f aca="false">LEFT(C310,7)</f>
        <v>2026-08</v>
      </c>
    </row>
    <row r="311" customFormat="false" ht="15" hidden="false" customHeight="false" outlineLevel="0" collapsed="false">
      <c r="A311" s="13" t="s">
        <v>75</v>
      </c>
      <c r="B311" s="13" t="s">
        <v>77</v>
      </c>
      <c r="C311" s="13" t="s">
        <v>115</v>
      </c>
      <c r="D311" s="13" t="s">
        <v>69</v>
      </c>
      <c r="E311" s="13" t="s">
        <v>51</v>
      </c>
      <c r="F311" s="14" t="n">
        <v>560</v>
      </c>
      <c r="G311" s="14" t="n">
        <v>609</v>
      </c>
      <c r="H311" s="13" t="s">
        <v>52</v>
      </c>
      <c r="I311" s="14" t="n">
        <v>2276</v>
      </c>
      <c r="J311" s="14" t="n">
        <v>12</v>
      </c>
      <c r="K311" s="14"/>
      <c r="L311" s="14"/>
      <c r="M311" s="14"/>
      <c r="N311" s="14"/>
      <c r="O311" s="15"/>
      <c r="P311" s="13" t="s">
        <v>115</v>
      </c>
      <c r="Q311" s="13" t="s">
        <v>115</v>
      </c>
      <c r="R311" s="13" t="str">
        <f aca="false">TRIM(LEFT(A311,FIND("/",A311)-1))</f>
        <v>Traffic</v>
      </c>
      <c r="S311" s="13" t="str">
        <f aca="false">LEFT(C311,7)</f>
        <v>2026-08</v>
      </c>
    </row>
    <row r="312" customFormat="false" ht="15" hidden="false" customHeight="false" outlineLevel="0" collapsed="false">
      <c r="A312" s="13" t="s">
        <v>75</v>
      </c>
      <c r="B312" s="13" t="s">
        <v>79</v>
      </c>
      <c r="C312" s="13" t="s">
        <v>115</v>
      </c>
      <c r="D312" s="13" t="s">
        <v>69</v>
      </c>
      <c r="E312" s="13" t="s">
        <v>51</v>
      </c>
      <c r="F312" s="14" t="n">
        <v>522</v>
      </c>
      <c r="G312" s="14" t="n">
        <v>526</v>
      </c>
      <c r="H312" s="13" t="s">
        <v>52</v>
      </c>
      <c r="I312" s="14" t="n">
        <v>1701</v>
      </c>
      <c r="J312" s="14" t="n">
        <v>8</v>
      </c>
      <c r="K312" s="14"/>
      <c r="L312" s="14"/>
      <c r="M312" s="14"/>
      <c r="N312" s="14"/>
      <c r="O312" s="15"/>
      <c r="P312" s="13" t="s">
        <v>115</v>
      </c>
      <c r="Q312" s="13" t="s">
        <v>115</v>
      </c>
      <c r="R312" s="13" t="str">
        <f aca="false">TRIM(LEFT(A312,FIND("/",A312)-1))</f>
        <v>Traffic</v>
      </c>
      <c r="S312" s="13" t="str">
        <f aca="false">LEFT(C312,7)</f>
        <v>2026-08</v>
      </c>
    </row>
    <row r="313" customFormat="false" ht="15" hidden="false" customHeight="false" outlineLevel="0" collapsed="false">
      <c r="A313" s="13" t="s">
        <v>66</v>
      </c>
      <c r="B313" s="13" t="s">
        <v>67</v>
      </c>
      <c r="C313" s="13" t="s">
        <v>116</v>
      </c>
      <c r="D313" s="13" t="s">
        <v>69</v>
      </c>
      <c r="E313" s="13" t="s">
        <v>51</v>
      </c>
      <c r="F313" s="14" t="n">
        <v>51801</v>
      </c>
      <c r="G313" s="14" t="n">
        <v>51801</v>
      </c>
      <c r="H313" s="13" t="s">
        <v>52</v>
      </c>
      <c r="I313" s="14" t="n">
        <v>63380</v>
      </c>
      <c r="J313" s="14" t="n">
        <v>9</v>
      </c>
      <c r="K313" s="14"/>
      <c r="L313" s="14"/>
      <c r="M313" s="14"/>
      <c r="N313" s="14"/>
      <c r="O313" s="15"/>
      <c r="P313" s="13" t="s">
        <v>116</v>
      </c>
      <c r="Q313" s="13" t="s">
        <v>116</v>
      </c>
      <c r="R313" s="13" t="str">
        <f aca="false">TRIM(LEFT(A313,FIND("/",A313)-1))</f>
        <v>Awareness</v>
      </c>
      <c r="S313" s="13" t="str">
        <f aca="false">LEFT(C313,7)</f>
        <v>2026-08</v>
      </c>
    </row>
    <row r="314" customFormat="false" ht="15" hidden="false" customHeight="false" outlineLevel="0" collapsed="false">
      <c r="A314" s="13" t="s">
        <v>66</v>
      </c>
      <c r="B314" s="13" t="s">
        <v>70</v>
      </c>
      <c r="C314" s="13" t="s">
        <v>116</v>
      </c>
      <c r="D314" s="13" t="s">
        <v>69</v>
      </c>
      <c r="E314" s="13" t="s">
        <v>51</v>
      </c>
      <c r="F314" s="14" t="n">
        <v>71931</v>
      </c>
      <c r="G314" s="14" t="n">
        <v>71931</v>
      </c>
      <c r="H314" s="13" t="s">
        <v>52</v>
      </c>
      <c r="I314" s="14" t="n">
        <v>85722</v>
      </c>
      <c r="J314" s="14" t="n">
        <v>10</v>
      </c>
      <c r="K314" s="14"/>
      <c r="L314" s="14"/>
      <c r="M314" s="14"/>
      <c r="N314" s="14"/>
      <c r="O314" s="15"/>
      <c r="P314" s="13" t="s">
        <v>116</v>
      </c>
      <c r="Q314" s="13" t="s">
        <v>116</v>
      </c>
      <c r="R314" s="13" t="str">
        <f aca="false">TRIM(LEFT(A314,FIND("/",A314)-1))</f>
        <v>Awareness</v>
      </c>
      <c r="S314" s="13" t="str">
        <f aca="false">LEFT(C314,7)</f>
        <v>2026-08</v>
      </c>
    </row>
    <row r="315" customFormat="false" ht="15" hidden="false" customHeight="false" outlineLevel="0" collapsed="false">
      <c r="A315" s="13" t="s">
        <v>66</v>
      </c>
      <c r="B315" s="13" t="s">
        <v>71</v>
      </c>
      <c r="C315" s="13" t="s">
        <v>116</v>
      </c>
      <c r="D315" s="13" t="s">
        <v>69</v>
      </c>
      <c r="E315" s="13" t="s">
        <v>51</v>
      </c>
      <c r="F315" s="14" t="n">
        <v>4705</v>
      </c>
      <c r="G315" s="14" t="n">
        <v>4750</v>
      </c>
      <c r="H315" s="13" t="s">
        <v>52</v>
      </c>
      <c r="I315" s="14" t="n">
        <v>5777</v>
      </c>
      <c r="J315" s="14" t="n">
        <v>3</v>
      </c>
      <c r="K315" s="14"/>
      <c r="L315" s="14"/>
      <c r="M315" s="14"/>
      <c r="N315" s="14"/>
      <c r="O315" s="15"/>
      <c r="P315" s="13" t="s">
        <v>116</v>
      </c>
      <c r="Q315" s="13" t="s">
        <v>116</v>
      </c>
      <c r="R315" s="13" t="str">
        <f aca="false">TRIM(LEFT(A315,FIND("/",A315)-1))</f>
        <v>Awareness</v>
      </c>
      <c r="S315" s="13" t="str">
        <f aca="false">LEFT(C315,7)</f>
        <v>2026-08</v>
      </c>
    </row>
    <row r="316" customFormat="false" ht="15" hidden="false" customHeight="false" outlineLevel="0" collapsed="false">
      <c r="A316" s="13" t="s">
        <v>73</v>
      </c>
      <c r="B316" s="13" t="s">
        <v>74</v>
      </c>
      <c r="C316" s="13" t="s">
        <v>116</v>
      </c>
      <c r="D316" s="13" t="s">
        <v>69</v>
      </c>
      <c r="E316" s="13" t="s">
        <v>51</v>
      </c>
      <c r="F316" s="14" t="n">
        <v>9510</v>
      </c>
      <c r="G316" s="14" t="n">
        <v>11517</v>
      </c>
      <c r="H316" s="13" t="s">
        <v>52</v>
      </c>
      <c r="I316" s="14" t="n">
        <v>221523</v>
      </c>
      <c r="J316" s="14" t="n">
        <v>320</v>
      </c>
      <c r="K316" s="14" t="n">
        <v>3</v>
      </c>
      <c r="L316" s="14" t="n">
        <v>544604</v>
      </c>
      <c r="M316" s="14" t="n">
        <v>34</v>
      </c>
      <c r="N316" s="14" t="n">
        <v>5834798</v>
      </c>
      <c r="O316" s="15" t="n">
        <v>2.45845352</v>
      </c>
      <c r="P316" s="13" t="s">
        <v>116</v>
      </c>
      <c r="Q316" s="13" t="s">
        <v>116</v>
      </c>
      <c r="R316" s="13" t="str">
        <f aca="false">TRIM(LEFT(A316,FIND("/",A316)-1))</f>
        <v>Sales</v>
      </c>
      <c r="S316" s="13" t="str">
        <f aca="false">LEFT(C316,7)</f>
        <v>2026-08</v>
      </c>
    </row>
    <row r="317" customFormat="false" ht="15" hidden="false" customHeight="false" outlineLevel="0" collapsed="false">
      <c r="A317" s="13" t="s">
        <v>75</v>
      </c>
      <c r="B317" s="13" t="s">
        <v>76</v>
      </c>
      <c r="C317" s="13" t="s">
        <v>116</v>
      </c>
      <c r="D317" s="13" t="s">
        <v>69</v>
      </c>
      <c r="E317" s="13" t="s">
        <v>51</v>
      </c>
      <c r="F317" s="14" t="n">
        <v>50773</v>
      </c>
      <c r="G317" s="14" t="n">
        <v>64566</v>
      </c>
      <c r="H317" s="13" t="s">
        <v>52</v>
      </c>
      <c r="I317" s="14" t="n">
        <v>219692</v>
      </c>
      <c r="J317" s="14" t="n">
        <v>1502</v>
      </c>
      <c r="K317" s="14"/>
      <c r="L317" s="14"/>
      <c r="M317" s="14" t="n">
        <v>5</v>
      </c>
      <c r="N317" s="14" t="n">
        <v>755300</v>
      </c>
      <c r="O317" s="15"/>
      <c r="P317" s="13" t="s">
        <v>116</v>
      </c>
      <c r="Q317" s="13" t="s">
        <v>116</v>
      </c>
      <c r="R317" s="13" t="str">
        <f aca="false">TRIM(LEFT(A317,FIND("/",A317)-1))</f>
        <v>Traffic</v>
      </c>
      <c r="S317" s="13" t="str">
        <f aca="false">LEFT(C317,7)</f>
        <v>2026-08</v>
      </c>
    </row>
    <row r="318" customFormat="false" ht="15" hidden="false" customHeight="false" outlineLevel="0" collapsed="false">
      <c r="A318" s="13" t="s">
        <v>75</v>
      </c>
      <c r="B318" s="13" t="s">
        <v>77</v>
      </c>
      <c r="C318" s="13" t="s">
        <v>116</v>
      </c>
      <c r="D318" s="13" t="s">
        <v>69</v>
      </c>
      <c r="E318" s="13" t="s">
        <v>51</v>
      </c>
      <c r="F318" s="14" t="n">
        <v>828</v>
      </c>
      <c r="G318" s="14" t="n">
        <v>842</v>
      </c>
      <c r="H318" s="13" t="s">
        <v>52</v>
      </c>
      <c r="I318" s="14" t="n">
        <v>1572</v>
      </c>
      <c r="J318" s="14" t="n">
        <v>20</v>
      </c>
      <c r="K318" s="14"/>
      <c r="L318" s="14"/>
      <c r="M318" s="14"/>
      <c r="N318" s="14"/>
      <c r="O318" s="15"/>
      <c r="P318" s="13" t="s">
        <v>116</v>
      </c>
      <c r="Q318" s="13" t="s">
        <v>116</v>
      </c>
      <c r="R318" s="13" t="str">
        <f aca="false">TRIM(LEFT(A318,FIND("/",A318)-1))</f>
        <v>Traffic</v>
      </c>
      <c r="S318" s="13" t="str">
        <f aca="false">LEFT(C318,7)</f>
        <v>2026-08</v>
      </c>
    </row>
    <row r="319" customFormat="false" ht="15" hidden="false" customHeight="false" outlineLevel="0" collapsed="false">
      <c r="A319" s="13" t="s">
        <v>75</v>
      </c>
      <c r="B319" s="13" t="s">
        <v>79</v>
      </c>
      <c r="C319" s="13" t="s">
        <v>116</v>
      </c>
      <c r="D319" s="13" t="s">
        <v>69</v>
      </c>
      <c r="E319" s="13" t="s">
        <v>51</v>
      </c>
      <c r="F319" s="14" t="n">
        <v>990</v>
      </c>
      <c r="G319" s="14" t="n">
        <v>1050</v>
      </c>
      <c r="H319" s="13" t="s">
        <v>52</v>
      </c>
      <c r="I319" s="14" t="n">
        <v>4658</v>
      </c>
      <c r="J319" s="14" t="n">
        <v>48</v>
      </c>
      <c r="K319" s="14"/>
      <c r="L319" s="14"/>
      <c r="M319" s="14"/>
      <c r="N319" s="14"/>
      <c r="O319" s="15"/>
      <c r="P319" s="13" t="s">
        <v>116</v>
      </c>
      <c r="Q319" s="13" t="s">
        <v>116</v>
      </c>
      <c r="R319" s="13" t="str">
        <f aca="false">TRIM(LEFT(A319,FIND("/",A319)-1))</f>
        <v>Traffic</v>
      </c>
      <c r="S319" s="13" t="str">
        <f aca="false">LEFT(C319,7)</f>
        <v>2026-08</v>
      </c>
    </row>
    <row r="320" customFormat="false" ht="15" hidden="false" customHeight="false" outlineLevel="0" collapsed="false">
      <c r="A320" s="13" t="s">
        <v>66</v>
      </c>
      <c r="B320" s="13" t="s">
        <v>67</v>
      </c>
      <c r="C320" s="13" t="s">
        <v>117</v>
      </c>
      <c r="D320" s="13" t="s">
        <v>69</v>
      </c>
      <c r="E320" s="13" t="s">
        <v>51</v>
      </c>
      <c r="F320" s="14" t="n">
        <v>49211</v>
      </c>
      <c r="G320" s="14" t="n">
        <v>49714</v>
      </c>
      <c r="H320" s="13" t="s">
        <v>52</v>
      </c>
      <c r="I320" s="14" t="n">
        <v>61148</v>
      </c>
      <c r="J320" s="14" t="n">
        <v>6</v>
      </c>
      <c r="K320" s="14"/>
      <c r="L320" s="14"/>
      <c r="M320" s="14"/>
      <c r="N320" s="14"/>
      <c r="O320" s="15"/>
      <c r="P320" s="13" t="s">
        <v>117</v>
      </c>
      <c r="Q320" s="13" t="s">
        <v>117</v>
      </c>
      <c r="R320" s="13" t="str">
        <f aca="false">TRIM(LEFT(A320,FIND("/",A320)-1))</f>
        <v>Awareness</v>
      </c>
      <c r="S320" s="13" t="str">
        <f aca="false">LEFT(C320,7)</f>
        <v>2026-08</v>
      </c>
    </row>
    <row r="321" customFormat="false" ht="15" hidden="false" customHeight="false" outlineLevel="0" collapsed="false">
      <c r="A321" s="13" t="s">
        <v>66</v>
      </c>
      <c r="B321" s="13" t="s">
        <v>70</v>
      </c>
      <c r="C321" s="13" t="s">
        <v>117</v>
      </c>
      <c r="D321" s="13" t="s">
        <v>69</v>
      </c>
      <c r="E321" s="13" t="s">
        <v>51</v>
      </c>
      <c r="F321" s="14" t="n">
        <v>62911</v>
      </c>
      <c r="G321" s="14" t="n">
        <v>63096</v>
      </c>
      <c r="H321" s="13" t="s">
        <v>52</v>
      </c>
      <c r="I321" s="14" t="n">
        <v>76233</v>
      </c>
      <c r="J321" s="14" t="n">
        <v>10</v>
      </c>
      <c r="K321" s="14"/>
      <c r="L321" s="14"/>
      <c r="M321" s="14"/>
      <c r="N321" s="14"/>
      <c r="O321" s="15"/>
      <c r="P321" s="13" t="s">
        <v>117</v>
      </c>
      <c r="Q321" s="13" t="s">
        <v>117</v>
      </c>
      <c r="R321" s="13" t="str">
        <f aca="false">TRIM(LEFT(A321,FIND("/",A321)-1))</f>
        <v>Awareness</v>
      </c>
      <c r="S321" s="13" t="str">
        <f aca="false">LEFT(C321,7)</f>
        <v>2026-08</v>
      </c>
    </row>
    <row r="322" customFormat="false" ht="15" hidden="false" customHeight="false" outlineLevel="0" collapsed="false">
      <c r="A322" s="13" t="s">
        <v>66</v>
      </c>
      <c r="B322" s="13" t="s">
        <v>71</v>
      </c>
      <c r="C322" s="13" t="s">
        <v>117</v>
      </c>
      <c r="D322" s="13" t="s">
        <v>69</v>
      </c>
      <c r="E322" s="13" t="s">
        <v>51</v>
      </c>
      <c r="F322" s="14" t="n">
        <v>2354</v>
      </c>
      <c r="G322" s="14" t="n">
        <v>2354</v>
      </c>
      <c r="H322" s="13" t="s">
        <v>52</v>
      </c>
      <c r="I322" s="14" t="n">
        <v>2896</v>
      </c>
      <c r="J322" s="14"/>
      <c r="K322" s="14"/>
      <c r="L322" s="14"/>
      <c r="M322" s="14"/>
      <c r="N322" s="14"/>
      <c r="O322" s="15"/>
      <c r="P322" s="13" t="s">
        <v>117</v>
      </c>
      <c r="Q322" s="13" t="s">
        <v>117</v>
      </c>
      <c r="R322" s="13" t="str">
        <f aca="false">TRIM(LEFT(A322,FIND("/",A322)-1))</f>
        <v>Awareness</v>
      </c>
      <c r="S322" s="13" t="str">
        <f aca="false">LEFT(C322,7)</f>
        <v>2026-08</v>
      </c>
    </row>
    <row r="323" customFormat="false" ht="15" hidden="false" customHeight="false" outlineLevel="0" collapsed="false">
      <c r="A323" s="13" t="s">
        <v>73</v>
      </c>
      <c r="B323" s="13" t="s">
        <v>74</v>
      </c>
      <c r="C323" s="13" t="s">
        <v>117</v>
      </c>
      <c r="D323" s="13" t="s">
        <v>69</v>
      </c>
      <c r="E323" s="13" t="s">
        <v>51</v>
      </c>
      <c r="F323" s="14" t="n">
        <v>9273</v>
      </c>
      <c r="G323" s="14" t="n">
        <v>10964</v>
      </c>
      <c r="H323" s="13" t="s">
        <v>52</v>
      </c>
      <c r="I323" s="14" t="n">
        <v>226416</v>
      </c>
      <c r="J323" s="14" t="n">
        <v>265</v>
      </c>
      <c r="K323" s="14" t="n">
        <v>3</v>
      </c>
      <c r="L323" s="14" t="n">
        <v>741818</v>
      </c>
      <c r="M323" s="14" t="n">
        <v>26</v>
      </c>
      <c r="N323" s="14" t="n">
        <v>4557761</v>
      </c>
      <c r="O323" s="15" t="n">
        <v>3.27634973</v>
      </c>
      <c r="P323" s="13" t="s">
        <v>117</v>
      </c>
      <c r="Q323" s="13" t="s">
        <v>117</v>
      </c>
      <c r="R323" s="13" t="str">
        <f aca="false">TRIM(LEFT(A323,FIND("/",A323)-1))</f>
        <v>Sales</v>
      </c>
      <c r="S323" s="13" t="str">
        <f aca="false">LEFT(C323,7)</f>
        <v>2026-08</v>
      </c>
    </row>
    <row r="324" customFormat="false" ht="15" hidden="false" customHeight="false" outlineLevel="0" collapsed="false">
      <c r="A324" s="13" t="s">
        <v>75</v>
      </c>
      <c r="B324" s="13" t="s">
        <v>76</v>
      </c>
      <c r="C324" s="13" t="s">
        <v>117</v>
      </c>
      <c r="D324" s="13" t="s">
        <v>69</v>
      </c>
      <c r="E324" s="13" t="s">
        <v>51</v>
      </c>
      <c r="F324" s="14" t="n">
        <v>71574</v>
      </c>
      <c r="G324" s="14" t="n">
        <v>96696</v>
      </c>
      <c r="H324" s="13" t="s">
        <v>52</v>
      </c>
      <c r="I324" s="14" t="n">
        <v>330737</v>
      </c>
      <c r="J324" s="14" t="n">
        <v>2090</v>
      </c>
      <c r="K324" s="14"/>
      <c r="L324" s="14"/>
      <c r="M324" s="14" t="n">
        <v>8</v>
      </c>
      <c r="N324" s="14" t="n">
        <v>1436484</v>
      </c>
      <c r="O324" s="15"/>
      <c r="P324" s="13" t="s">
        <v>117</v>
      </c>
      <c r="Q324" s="13" t="s">
        <v>117</v>
      </c>
      <c r="R324" s="13" t="str">
        <f aca="false">TRIM(LEFT(A324,FIND("/",A324)-1))</f>
        <v>Traffic</v>
      </c>
      <c r="S324" s="13" t="str">
        <f aca="false">LEFT(C324,7)</f>
        <v>2026-08</v>
      </c>
    </row>
    <row r="325" customFormat="false" ht="15" hidden="false" customHeight="false" outlineLevel="0" collapsed="false">
      <c r="A325" s="13" t="s">
        <v>75</v>
      </c>
      <c r="B325" s="13" t="s">
        <v>77</v>
      </c>
      <c r="C325" s="13" t="s">
        <v>117</v>
      </c>
      <c r="D325" s="13" t="s">
        <v>69</v>
      </c>
      <c r="E325" s="13" t="s">
        <v>51</v>
      </c>
      <c r="F325" s="14" t="n">
        <v>456</v>
      </c>
      <c r="G325" s="14" t="n">
        <v>472</v>
      </c>
      <c r="H325" s="13" t="s">
        <v>52</v>
      </c>
      <c r="I325" s="14" t="n">
        <v>2023</v>
      </c>
      <c r="J325" s="14" t="n">
        <v>12</v>
      </c>
      <c r="K325" s="14"/>
      <c r="L325" s="14"/>
      <c r="M325" s="14"/>
      <c r="N325" s="14"/>
      <c r="O325" s="15"/>
      <c r="P325" s="13" t="s">
        <v>117</v>
      </c>
      <c r="Q325" s="13" t="s">
        <v>117</v>
      </c>
      <c r="R325" s="13" t="str">
        <f aca="false">TRIM(LEFT(A325,FIND("/",A325)-1))</f>
        <v>Traffic</v>
      </c>
      <c r="S325" s="13" t="str">
        <f aca="false">LEFT(C325,7)</f>
        <v>2026-08</v>
      </c>
    </row>
    <row r="326" customFormat="false" ht="15" hidden="false" customHeight="false" outlineLevel="0" collapsed="false">
      <c r="A326" s="13" t="s">
        <v>75</v>
      </c>
      <c r="B326" s="13" t="s">
        <v>79</v>
      </c>
      <c r="C326" s="13" t="s">
        <v>117</v>
      </c>
      <c r="D326" s="13" t="s">
        <v>69</v>
      </c>
      <c r="E326" s="13" t="s">
        <v>51</v>
      </c>
      <c r="F326" s="14" t="n">
        <v>687</v>
      </c>
      <c r="G326" s="14" t="n">
        <v>702</v>
      </c>
      <c r="H326" s="13" t="s">
        <v>52</v>
      </c>
      <c r="I326" s="14" t="n">
        <v>3323</v>
      </c>
      <c r="J326" s="14" t="n">
        <v>29</v>
      </c>
      <c r="K326" s="14"/>
      <c r="L326" s="14"/>
      <c r="M326" s="14"/>
      <c r="N326" s="14"/>
      <c r="O326" s="15"/>
      <c r="P326" s="13" t="s">
        <v>117</v>
      </c>
      <c r="Q326" s="13" t="s">
        <v>117</v>
      </c>
      <c r="R326" s="13" t="str">
        <f aca="false">TRIM(LEFT(A326,FIND("/",A326)-1))</f>
        <v>Traffic</v>
      </c>
      <c r="S326" s="13" t="str">
        <f aca="false">LEFT(C326,7)</f>
        <v>2026-08</v>
      </c>
    </row>
    <row r="327" customFormat="false" ht="15" hidden="false" customHeight="false" outlineLevel="0" collapsed="false">
      <c r="A327" s="13" t="s">
        <v>66</v>
      </c>
      <c r="B327" s="13" t="s">
        <v>67</v>
      </c>
      <c r="C327" s="13" t="s">
        <v>118</v>
      </c>
      <c r="D327" s="13" t="s">
        <v>69</v>
      </c>
      <c r="E327" s="13" t="s">
        <v>51</v>
      </c>
      <c r="F327" s="14" t="n">
        <v>72528</v>
      </c>
      <c r="G327" s="14" t="n">
        <v>72528</v>
      </c>
      <c r="H327" s="13" t="s">
        <v>52</v>
      </c>
      <c r="I327" s="14" t="n">
        <v>91682</v>
      </c>
      <c r="J327" s="14" t="n">
        <v>9</v>
      </c>
      <c r="K327" s="14"/>
      <c r="L327" s="14"/>
      <c r="M327" s="14"/>
      <c r="N327" s="14"/>
      <c r="O327" s="15"/>
      <c r="P327" s="13" t="s">
        <v>118</v>
      </c>
      <c r="Q327" s="13" t="s">
        <v>118</v>
      </c>
      <c r="R327" s="13" t="str">
        <f aca="false">TRIM(LEFT(A327,FIND("/",A327)-1))</f>
        <v>Awareness</v>
      </c>
      <c r="S327" s="13" t="str">
        <f aca="false">LEFT(C327,7)</f>
        <v>2026-08</v>
      </c>
    </row>
    <row r="328" customFormat="false" ht="15" hidden="false" customHeight="false" outlineLevel="0" collapsed="false">
      <c r="A328" s="13" t="s">
        <v>66</v>
      </c>
      <c r="B328" s="13" t="s">
        <v>70</v>
      </c>
      <c r="C328" s="13" t="s">
        <v>118</v>
      </c>
      <c r="D328" s="13" t="s">
        <v>69</v>
      </c>
      <c r="E328" s="13" t="s">
        <v>51</v>
      </c>
      <c r="F328" s="14" t="n">
        <v>44138</v>
      </c>
      <c r="G328" s="14" t="n">
        <v>44138</v>
      </c>
      <c r="H328" s="13" t="s">
        <v>52</v>
      </c>
      <c r="I328" s="14" t="n">
        <v>54826</v>
      </c>
      <c r="J328" s="14" t="n">
        <v>4</v>
      </c>
      <c r="K328" s="14"/>
      <c r="L328" s="14"/>
      <c r="M328" s="14"/>
      <c r="N328" s="14"/>
      <c r="O328" s="15"/>
      <c r="P328" s="13" t="s">
        <v>118</v>
      </c>
      <c r="Q328" s="13" t="s">
        <v>118</v>
      </c>
      <c r="R328" s="13" t="str">
        <f aca="false">TRIM(LEFT(A328,FIND("/",A328)-1))</f>
        <v>Awareness</v>
      </c>
      <c r="S328" s="13" t="str">
        <f aca="false">LEFT(C328,7)</f>
        <v>2026-08</v>
      </c>
    </row>
    <row r="329" customFormat="false" ht="15" hidden="false" customHeight="false" outlineLevel="0" collapsed="false">
      <c r="A329" s="13" t="s">
        <v>66</v>
      </c>
      <c r="B329" s="13" t="s">
        <v>71</v>
      </c>
      <c r="C329" s="13" t="s">
        <v>118</v>
      </c>
      <c r="D329" s="13" t="s">
        <v>69</v>
      </c>
      <c r="E329" s="13" t="s">
        <v>51</v>
      </c>
      <c r="F329" s="14" t="n">
        <v>3542</v>
      </c>
      <c r="G329" s="14" t="n">
        <v>3542</v>
      </c>
      <c r="H329" s="13" t="s">
        <v>52</v>
      </c>
      <c r="I329" s="14" t="n">
        <v>4491</v>
      </c>
      <c r="J329" s="14"/>
      <c r="K329" s="14"/>
      <c r="L329" s="14"/>
      <c r="M329" s="14"/>
      <c r="N329" s="14"/>
      <c r="O329" s="15"/>
      <c r="P329" s="13" t="s">
        <v>118</v>
      </c>
      <c r="Q329" s="13" t="s">
        <v>118</v>
      </c>
      <c r="R329" s="13" t="str">
        <f aca="false">TRIM(LEFT(A329,FIND("/",A329)-1))</f>
        <v>Awareness</v>
      </c>
      <c r="S329" s="13" t="str">
        <f aca="false">LEFT(C329,7)</f>
        <v>2026-08</v>
      </c>
    </row>
    <row r="330" customFormat="false" ht="15" hidden="false" customHeight="false" outlineLevel="0" collapsed="false">
      <c r="A330" s="13" t="s">
        <v>73</v>
      </c>
      <c r="B330" s="13" t="s">
        <v>74</v>
      </c>
      <c r="C330" s="13" t="s">
        <v>118</v>
      </c>
      <c r="D330" s="13" t="s">
        <v>69</v>
      </c>
      <c r="E330" s="13" t="s">
        <v>51</v>
      </c>
      <c r="F330" s="14" t="n">
        <v>6391</v>
      </c>
      <c r="G330" s="14" t="n">
        <v>7670</v>
      </c>
      <c r="H330" s="13" t="s">
        <v>52</v>
      </c>
      <c r="I330" s="14" t="n">
        <v>175751</v>
      </c>
      <c r="J330" s="14" t="n">
        <v>220</v>
      </c>
      <c r="K330" s="14" t="n">
        <v>3</v>
      </c>
      <c r="L330" s="14" t="n">
        <v>491328</v>
      </c>
      <c r="M330" s="14" t="n">
        <v>27</v>
      </c>
      <c r="N330" s="14" t="n">
        <v>4674743</v>
      </c>
      <c r="O330" s="15" t="n">
        <v>2.79559149</v>
      </c>
      <c r="P330" s="13" t="s">
        <v>118</v>
      </c>
      <c r="Q330" s="13" t="s">
        <v>118</v>
      </c>
      <c r="R330" s="13" t="str">
        <f aca="false">TRIM(LEFT(A330,FIND("/",A330)-1))</f>
        <v>Sales</v>
      </c>
      <c r="S330" s="13" t="str">
        <f aca="false">LEFT(C330,7)</f>
        <v>2026-08</v>
      </c>
    </row>
    <row r="331" customFormat="false" ht="15" hidden="false" customHeight="false" outlineLevel="0" collapsed="false">
      <c r="A331" s="13" t="s">
        <v>75</v>
      </c>
      <c r="B331" s="13" t="s">
        <v>76</v>
      </c>
      <c r="C331" s="13" t="s">
        <v>118</v>
      </c>
      <c r="D331" s="13" t="s">
        <v>69</v>
      </c>
      <c r="E331" s="13" t="s">
        <v>51</v>
      </c>
      <c r="F331" s="14" t="n">
        <v>66281</v>
      </c>
      <c r="G331" s="14" t="n">
        <v>83160</v>
      </c>
      <c r="H331" s="13" t="s">
        <v>52</v>
      </c>
      <c r="I331" s="14" t="n">
        <v>287422</v>
      </c>
      <c r="J331" s="14" t="n">
        <v>1783</v>
      </c>
      <c r="K331" s="14"/>
      <c r="L331" s="14"/>
      <c r="M331" s="14" t="n">
        <v>3</v>
      </c>
      <c r="N331" s="14" t="n">
        <v>403513</v>
      </c>
      <c r="O331" s="15"/>
      <c r="P331" s="13" t="s">
        <v>118</v>
      </c>
      <c r="Q331" s="13" t="s">
        <v>118</v>
      </c>
      <c r="R331" s="13" t="str">
        <f aca="false">TRIM(LEFT(A331,FIND("/",A331)-1))</f>
        <v>Traffic</v>
      </c>
      <c r="S331" s="13" t="str">
        <f aca="false">LEFT(C331,7)</f>
        <v>2026-08</v>
      </c>
    </row>
    <row r="332" customFormat="false" ht="15" hidden="false" customHeight="false" outlineLevel="0" collapsed="false">
      <c r="A332" s="13" t="s">
        <v>75</v>
      </c>
      <c r="B332" s="13" t="s">
        <v>77</v>
      </c>
      <c r="C332" s="13" t="s">
        <v>118</v>
      </c>
      <c r="D332" s="13" t="s">
        <v>69</v>
      </c>
      <c r="E332" s="13" t="s">
        <v>51</v>
      </c>
      <c r="F332" s="14" t="n">
        <v>693</v>
      </c>
      <c r="G332" s="14" t="n">
        <v>699</v>
      </c>
      <c r="H332" s="13" t="s">
        <v>52</v>
      </c>
      <c r="I332" s="14" t="n">
        <v>2055</v>
      </c>
      <c r="J332" s="14" t="n">
        <v>9</v>
      </c>
      <c r="K332" s="14"/>
      <c r="L332" s="14"/>
      <c r="M332" s="14"/>
      <c r="N332" s="14"/>
      <c r="O332" s="15"/>
      <c r="P332" s="13" t="s">
        <v>118</v>
      </c>
      <c r="Q332" s="13" t="s">
        <v>118</v>
      </c>
      <c r="R332" s="13" t="str">
        <f aca="false">TRIM(LEFT(A332,FIND("/",A332)-1))</f>
        <v>Traffic</v>
      </c>
      <c r="S332" s="13" t="str">
        <f aca="false">LEFT(C332,7)</f>
        <v>2026-08</v>
      </c>
    </row>
    <row r="333" customFormat="false" ht="15" hidden="false" customHeight="false" outlineLevel="0" collapsed="false">
      <c r="A333" s="13" t="s">
        <v>75</v>
      </c>
      <c r="B333" s="13" t="s">
        <v>79</v>
      </c>
      <c r="C333" s="13" t="s">
        <v>118</v>
      </c>
      <c r="D333" s="13" t="s">
        <v>69</v>
      </c>
      <c r="E333" s="13" t="s">
        <v>51</v>
      </c>
      <c r="F333" s="14" t="n">
        <v>2216</v>
      </c>
      <c r="G333" s="14" t="n">
        <v>2322</v>
      </c>
      <c r="H333" s="13" t="s">
        <v>52</v>
      </c>
      <c r="I333" s="14" t="n">
        <v>3144</v>
      </c>
      <c r="J333" s="14" t="n">
        <v>21</v>
      </c>
      <c r="K333" s="14"/>
      <c r="L333" s="14"/>
      <c r="M333" s="14"/>
      <c r="N333" s="14"/>
      <c r="O333" s="15"/>
      <c r="P333" s="13" t="s">
        <v>118</v>
      </c>
      <c r="Q333" s="13" t="s">
        <v>118</v>
      </c>
      <c r="R333" s="13" t="str">
        <f aca="false">TRIM(LEFT(A333,FIND("/",A333)-1))</f>
        <v>Traffic</v>
      </c>
      <c r="S333" s="13" t="str">
        <f aca="false">LEFT(C333,7)</f>
        <v>2026-08</v>
      </c>
    </row>
    <row r="334" customFormat="false" ht="15" hidden="false" customHeight="false" outlineLevel="0" collapsed="false">
      <c r="A334" s="13" t="s">
        <v>66</v>
      </c>
      <c r="B334" s="13" t="s">
        <v>67</v>
      </c>
      <c r="C334" s="13" t="s">
        <v>119</v>
      </c>
      <c r="D334" s="13" t="s">
        <v>69</v>
      </c>
      <c r="E334" s="13" t="s">
        <v>51</v>
      </c>
      <c r="F334" s="14" t="n">
        <v>58261</v>
      </c>
      <c r="G334" s="14" t="n">
        <v>61768</v>
      </c>
      <c r="H334" s="13" t="s">
        <v>52</v>
      </c>
      <c r="I334" s="14" t="n">
        <v>81043</v>
      </c>
      <c r="J334" s="14" t="n">
        <v>3</v>
      </c>
      <c r="K334" s="14"/>
      <c r="L334" s="14"/>
      <c r="M334" s="14"/>
      <c r="N334" s="14"/>
      <c r="O334" s="15"/>
      <c r="P334" s="13" t="s">
        <v>119</v>
      </c>
      <c r="Q334" s="13" t="s">
        <v>119</v>
      </c>
      <c r="R334" s="13" t="str">
        <f aca="false">TRIM(LEFT(A334,FIND("/",A334)-1))</f>
        <v>Awareness</v>
      </c>
      <c r="S334" s="13" t="str">
        <f aca="false">LEFT(C334,7)</f>
        <v>2026-08</v>
      </c>
    </row>
    <row r="335" customFormat="false" ht="15" hidden="false" customHeight="false" outlineLevel="0" collapsed="false">
      <c r="A335" s="13" t="s">
        <v>66</v>
      </c>
      <c r="B335" s="13" t="s">
        <v>70</v>
      </c>
      <c r="C335" s="13" t="s">
        <v>119</v>
      </c>
      <c r="D335" s="13" t="s">
        <v>69</v>
      </c>
      <c r="E335" s="13" t="s">
        <v>51</v>
      </c>
      <c r="F335" s="14" t="n">
        <v>46037</v>
      </c>
      <c r="G335" s="14" t="n">
        <v>46485</v>
      </c>
      <c r="H335" s="13" t="s">
        <v>52</v>
      </c>
      <c r="I335" s="14" t="n">
        <v>60160</v>
      </c>
      <c r="J335" s="14" t="n">
        <v>6</v>
      </c>
      <c r="K335" s="14"/>
      <c r="L335" s="14"/>
      <c r="M335" s="14"/>
      <c r="N335" s="14"/>
      <c r="O335" s="15"/>
      <c r="P335" s="13" t="s">
        <v>119</v>
      </c>
      <c r="Q335" s="13" t="s">
        <v>119</v>
      </c>
      <c r="R335" s="13" t="str">
        <f aca="false">TRIM(LEFT(A335,FIND("/",A335)-1))</f>
        <v>Awareness</v>
      </c>
      <c r="S335" s="13" t="str">
        <f aca="false">LEFT(C335,7)</f>
        <v>2026-08</v>
      </c>
    </row>
    <row r="336" customFormat="false" ht="15" hidden="false" customHeight="false" outlineLevel="0" collapsed="false">
      <c r="A336" s="13" t="s">
        <v>66</v>
      </c>
      <c r="B336" s="13" t="s">
        <v>71</v>
      </c>
      <c r="C336" s="13" t="s">
        <v>119</v>
      </c>
      <c r="D336" s="13" t="s">
        <v>69</v>
      </c>
      <c r="E336" s="13" t="s">
        <v>51</v>
      </c>
      <c r="F336" s="14" t="n">
        <v>1866</v>
      </c>
      <c r="G336" s="14" t="n">
        <v>1866</v>
      </c>
      <c r="H336" s="13" t="s">
        <v>52</v>
      </c>
      <c r="I336" s="14" t="n">
        <v>2387</v>
      </c>
      <c r="J336" s="14"/>
      <c r="K336" s="14"/>
      <c r="L336" s="14"/>
      <c r="M336" s="14"/>
      <c r="N336" s="14"/>
      <c r="O336" s="15"/>
      <c r="P336" s="13" t="s">
        <v>119</v>
      </c>
      <c r="Q336" s="13" t="s">
        <v>119</v>
      </c>
      <c r="R336" s="13" t="str">
        <f aca="false">TRIM(LEFT(A336,FIND("/",A336)-1))</f>
        <v>Awareness</v>
      </c>
      <c r="S336" s="13" t="str">
        <f aca="false">LEFT(C336,7)</f>
        <v>2026-08</v>
      </c>
    </row>
    <row r="337" customFormat="false" ht="15" hidden="false" customHeight="false" outlineLevel="0" collapsed="false">
      <c r="A337" s="13" t="s">
        <v>73</v>
      </c>
      <c r="B337" s="13" t="s">
        <v>74</v>
      </c>
      <c r="C337" s="13" t="s">
        <v>119</v>
      </c>
      <c r="D337" s="13" t="s">
        <v>69</v>
      </c>
      <c r="E337" s="13" t="s">
        <v>51</v>
      </c>
      <c r="F337" s="14" t="n">
        <v>6357</v>
      </c>
      <c r="G337" s="14" t="n">
        <v>7658</v>
      </c>
      <c r="H337" s="13" t="s">
        <v>52</v>
      </c>
      <c r="I337" s="14" t="n">
        <v>178954</v>
      </c>
      <c r="J337" s="14" t="n">
        <v>230</v>
      </c>
      <c r="K337" s="14" t="n">
        <v>1</v>
      </c>
      <c r="L337" s="14" t="n">
        <v>239545</v>
      </c>
      <c r="M337" s="14" t="n">
        <v>22</v>
      </c>
      <c r="N337" s="14" t="n">
        <v>3543311</v>
      </c>
      <c r="O337" s="15" t="n">
        <v>1.33858422</v>
      </c>
      <c r="P337" s="13" t="s">
        <v>119</v>
      </c>
      <c r="Q337" s="13" t="s">
        <v>119</v>
      </c>
      <c r="R337" s="13" t="str">
        <f aca="false">TRIM(LEFT(A337,FIND("/",A337)-1))</f>
        <v>Sales</v>
      </c>
      <c r="S337" s="13" t="str">
        <f aca="false">LEFT(C337,7)</f>
        <v>2026-08</v>
      </c>
    </row>
    <row r="338" customFormat="false" ht="15" hidden="false" customHeight="false" outlineLevel="0" collapsed="false">
      <c r="A338" s="13" t="s">
        <v>75</v>
      </c>
      <c r="B338" s="13" t="s">
        <v>76</v>
      </c>
      <c r="C338" s="13" t="s">
        <v>119</v>
      </c>
      <c r="D338" s="13" t="s">
        <v>69</v>
      </c>
      <c r="E338" s="13" t="s">
        <v>51</v>
      </c>
      <c r="F338" s="14" t="n">
        <v>64330</v>
      </c>
      <c r="G338" s="14" t="n">
        <v>77779</v>
      </c>
      <c r="H338" s="13" t="s">
        <v>52</v>
      </c>
      <c r="I338" s="14" t="n">
        <v>287689</v>
      </c>
      <c r="J338" s="14" t="n">
        <v>1770</v>
      </c>
      <c r="K338" s="14"/>
      <c r="L338" s="14"/>
      <c r="M338" s="14" t="n">
        <v>7</v>
      </c>
      <c r="N338" s="14" t="n">
        <v>1127611</v>
      </c>
      <c r="O338" s="15"/>
      <c r="P338" s="13" t="s">
        <v>119</v>
      </c>
      <c r="Q338" s="13" t="s">
        <v>119</v>
      </c>
      <c r="R338" s="13" t="str">
        <f aca="false">TRIM(LEFT(A338,FIND("/",A338)-1))</f>
        <v>Traffic</v>
      </c>
      <c r="S338" s="13" t="str">
        <f aca="false">LEFT(C338,7)</f>
        <v>2026-08</v>
      </c>
    </row>
    <row r="339" customFormat="false" ht="15" hidden="false" customHeight="false" outlineLevel="0" collapsed="false">
      <c r="A339" s="13" t="s">
        <v>75</v>
      </c>
      <c r="B339" s="13" t="s">
        <v>77</v>
      </c>
      <c r="C339" s="13" t="s">
        <v>119</v>
      </c>
      <c r="D339" s="13" t="s">
        <v>69</v>
      </c>
      <c r="E339" s="13" t="s">
        <v>51</v>
      </c>
      <c r="F339" s="14" t="n">
        <v>368</v>
      </c>
      <c r="G339" s="14" t="n">
        <v>377</v>
      </c>
      <c r="H339" s="13" t="s">
        <v>52</v>
      </c>
      <c r="I339" s="14" t="n">
        <v>999</v>
      </c>
      <c r="J339" s="14" t="n">
        <v>12</v>
      </c>
      <c r="K339" s="14"/>
      <c r="L339" s="14"/>
      <c r="M339" s="14"/>
      <c r="N339" s="14"/>
      <c r="O339" s="15"/>
      <c r="P339" s="13" t="s">
        <v>119</v>
      </c>
      <c r="Q339" s="13" t="s">
        <v>119</v>
      </c>
      <c r="R339" s="13" t="str">
        <f aca="false">TRIM(LEFT(A339,FIND("/",A339)-1))</f>
        <v>Traffic</v>
      </c>
      <c r="S339" s="13" t="str">
        <f aca="false">LEFT(C339,7)</f>
        <v>2026-08</v>
      </c>
    </row>
    <row r="340" customFormat="false" ht="15" hidden="false" customHeight="false" outlineLevel="0" collapsed="false">
      <c r="A340" s="13" t="s">
        <v>75</v>
      </c>
      <c r="B340" s="13" t="s">
        <v>79</v>
      </c>
      <c r="C340" s="13" t="s">
        <v>119</v>
      </c>
      <c r="D340" s="13" t="s">
        <v>69</v>
      </c>
      <c r="E340" s="13" t="s">
        <v>51</v>
      </c>
      <c r="F340" s="14" t="n">
        <v>572</v>
      </c>
      <c r="G340" s="14" t="n">
        <v>586</v>
      </c>
      <c r="H340" s="13" t="s">
        <v>52</v>
      </c>
      <c r="I340" s="14" t="n">
        <v>2207</v>
      </c>
      <c r="J340" s="14" t="n">
        <v>14</v>
      </c>
      <c r="K340" s="14"/>
      <c r="L340" s="14"/>
      <c r="M340" s="14"/>
      <c r="N340" s="14"/>
      <c r="O340" s="15"/>
      <c r="P340" s="13" t="s">
        <v>119</v>
      </c>
      <c r="Q340" s="13" t="s">
        <v>119</v>
      </c>
      <c r="R340" s="13" t="str">
        <f aca="false">TRIM(LEFT(A340,FIND("/",A340)-1))</f>
        <v>Traffic</v>
      </c>
      <c r="S340" s="13" t="str">
        <f aca="false">LEFT(C340,7)</f>
        <v>2026-08</v>
      </c>
    </row>
    <row r="341" customFormat="false" ht="15" hidden="false" customHeight="false" outlineLevel="0" collapsed="false">
      <c r="A341" s="13" t="s">
        <v>66</v>
      </c>
      <c r="B341" s="13" t="s">
        <v>67</v>
      </c>
      <c r="C341" s="13" t="s">
        <v>120</v>
      </c>
      <c r="D341" s="13" t="s">
        <v>69</v>
      </c>
      <c r="E341" s="13" t="s">
        <v>51</v>
      </c>
      <c r="F341" s="14" t="n">
        <v>90519</v>
      </c>
      <c r="G341" s="14" t="n">
        <v>91108</v>
      </c>
      <c r="H341" s="13" t="s">
        <v>52</v>
      </c>
      <c r="I341" s="14" t="n">
        <v>118249</v>
      </c>
      <c r="J341" s="14" t="n">
        <v>10</v>
      </c>
      <c r="K341" s="14"/>
      <c r="L341" s="14"/>
      <c r="M341" s="14"/>
      <c r="N341" s="14"/>
      <c r="O341" s="15"/>
      <c r="P341" s="13" t="s">
        <v>120</v>
      </c>
      <c r="Q341" s="13" t="s">
        <v>120</v>
      </c>
      <c r="R341" s="13" t="str">
        <f aca="false">TRIM(LEFT(A341,FIND("/",A341)-1))</f>
        <v>Awareness</v>
      </c>
      <c r="S341" s="13" t="str">
        <f aca="false">LEFT(C341,7)</f>
        <v>2026-08</v>
      </c>
    </row>
    <row r="342" customFormat="false" ht="15" hidden="false" customHeight="false" outlineLevel="0" collapsed="false">
      <c r="A342" s="13" t="s">
        <v>66</v>
      </c>
      <c r="B342" s="13" t="s">
        <v>70</v>
      </c>
      <c r="C342" s="13" t="s">
        <v>120</v>
      </c>
      <c r="D342" s="13" t="s">
        <v>69</v>
      </c>
      <c r="E342" s="13" t="s">
        <v>51</v>
      </c>
      <c r="F342" s="14" t="n">
        <v>24694</v>
      </c>
      <c r="G342" s="14" t="n">
        <v>24694</v>
      </c>
      <c r="H342" s="13" t="s">
        <v>52</v>
      </c>
      <c r="I342" s="14" t="n">
        <v>31510</v>
      </c>
      <c r="J342" s="14"/>
      <c r="K342" s="14"/>
      <c r="L342" s="14"/>
      <c r="M342" s="14"/>
      <c r="N342" s="14"/>
      <c r="O342" s="15"/>
      <c r="P342" s="13" t="s">
        <v>120</v>
      </c>
      <c r="Q342" s="13" t="s">
        <v>120</v>
      </c>
      <c r="R342" s="13" t="str">
        <f aca="false">TRIM(LEFT(A342,FIND("/",A342)-1))</f>
        <v>Awareness</v>
      </c>
      <c r="S342" s="13" t="str">
        <f aca="false">LEFT(C342,7)</f>
        <v>2026-08</v>
      </c>
    </row>
    <row r="343" customFormat="false" ht="15" hidden="false" customHeight="false" outlineLevel="0" collapsed="false">
      <c r="A343" s="13" t="s">
        <v>66</v>
      </c>
      <c r="B343" s="13" t="s">
        <v>71</v>
      </c>
      <c r="C343" s="13" t="s">
        <v>120</v>
      </c>
      <c r="D343" s="13" t="s">
        <v>69</v>
      </c>
      <c r="E343" s="13" t="s">
        <v>51</v>
      </c>
      <c r="F343" s="14" t="n">
        <v>7254</v>
      </c>
      <c r="G343" s="14" t="n">
        <v>7254</v>
      </c>
      <c r="H343" s="13" t="s">
        <v>52</v>
      </c>
      <c r="I343" s="14" t="n">
        <v>9410</v>
      </c>
      <c r="J343" s="14" t="n">
        <v>1</v>
      </c>
      <c r="K343" s="14"/>
      <c r="L343" s="14"/>
      <c r="M343" s="14"/>
      <c r="N343" s="14"/>
      <c r="O343" s="15"/>
      <c r="P343" s="13" t="s">
        <v>120</v>
      </c>
      <c r="Q343" s="13" t="s">
        <v>120</v>
      </c>
      <c r="R343" s="13" t="str">
        <f aca="false">TRIM(LEFT(A343,FIND("/",A343)-1))</f>
        <v>Awareness</v>
      </c>
      <c r="S343" s="13" t="str">
        <f aca="false">LEFT(C343,7)</f>
        <v>2026-08</v>
      </c>
    </row>
    <row r="344" customFormat="false" ht="15" hidden="false" customHeight="false" outlineLevel="0" collapsed="false">
      <c r="A344" s="13" t="s">
        <v>73</v>
      </c>
      <c r="B344" s="13" t="s">
        <v>74</v>
      </c>
      <c r="C344" s="13" t="s">
        <v>120</v>
      </c>
      <c r="D344" s="13" t="s">
        <v>69</v>
      </c>
      <c r="E344" s="13" t="s">
        <v>51</v>
      </c>
      <c r="F344" s="14" t="n">
        <v>7502</v>
      </c>
      <c r="G344" s="14" t="n">
        <v>9289</v>
      </c>
      <c r="H344" s="13" t="s">
        <v>52</v>
      </c>
      <c r="I344" s="14" t="n">
        <v>227403</v>
      </c>
      <c r="J344" s="14" t="n">
        <v>253</v>
      </c>
      <c r="K344" s="14" t="n">
        <v>1</v>
      </c>
      <c r="L344" s="14" t="n">
        <v>178171</v>
      </c>
      <c r="M344" s="14" t="n">
        <v>23</v>
      </c>
      <c r="N344" s="14" t="n">
        <v>4323379</v>
      </c>
      <c r="O344" s="15" t="n">
        <v>0.7835033</v>
      </c>
      <c r="P344" s="13" t="s">
        <v>120</v>
      </c>
      <c r="Q344" s="13" t="s">
        <v>120</v>
      </c>
      <c r="R344" s="13" t="str">
        <f aca="false">TRIM(LEFT(A344,FIND("/",A344)-1))</f>
        <v>Sales</v>
      </c>
      <c r="S344" s="13" t="str">
        <f aca="false">LEFT(C344,7)</f>
        <v>2026-08</v>
      </c>
    </row>
    <row r="345" customFormat="false" ht="15" hidden="false" customHeight="false" outlineLevel="0" collapsed="false">
      <c r="A345" s="13" t="s">
        <v>75</v>
      </c>
      <c r="B345" s="13" t="s">
        <v>76</v>
      </c>
      <c r="C345" s="13" t="s">
        <v>120</v>
      </c>
      <c r="D345" s="13" t="s">
        <v>69</v>
      </c>
      <c r="E345" s="13" t="s">
        <v>51</v>
      </c>
      <c r="F345" s="14" t="n">
        <v>70755</v>
      </c>
      <c r="G345" s="14" t="n">
        <v>85591</v>
      </c>
      <c r="H345" s="13" t="s">
        <v>52</v>
      </c>
      <c r="I345" s="14" t="n">
        <v>305614</v>
      </c>
      <c r="J345" s="14" t="n">
        <v>2019</v>
      </c>
      <c r="K345" s="14"/>
      <c r="L345" s="14"/>
      <c r="M345" s="14" t="n">
        <v>14</v>
      </c>
      <c r="N345" s="14" t="n">
        <v>2146504</v>
      </c>
      <c r="O345" s="15"/>
      <c r="P345" s="13" t="s">
        <v>120</v>
      </c>
      <c r="Q345" s="13" t="s">
        <v>120</v>
      </c>
      <c r="R345" s="13" t="str">
        <f aca="false">TRIM(LEFT(A345,FIND("/",A345)-1))</f>
        <v>Traffic</v>
      </c>
      <c r="S345" s="13" t="str">
        <f aca="false">LEFT(C345,7)</f>
        <v>2026-08</v>
      </c>
    </row>
    <row r="346" customFormat="false" ht="15" hidden="false" customHeight="false" outlineLevel="0" collapsed="false">
      <c r="A346" s="13" t="s">
        <v>75</v>
      </c>
      <c r="B346" s="13" t="s">
        <v>77</v>
      </c>
      <c r="C346" s="13" t="s">
        <v>120</v>
      </c>
      <c r="D346" s="13" t="s">
        <v>69</v>
      </c>
      <c r="E346" s="13" t="s">
        <v>51</v>
      </c>
      <c r="F346" s="14" t="n">
        <v>1541</v>
      </c>
      <c r="G346" s="14" t="n">
        <v>1740</v>
      </c>
      <c r="H346" s="13" t="s">
        <v>52</v>
      </c>
      <c r="I346" s="14" t="n">
        <v>8209</v>
      </c>
      <c r="J346" s="14" t="n">
        <v>61</v>
      </c>
      <c r="K346" s="14"/>
      <c r="L346" s="14"/>
      <c r="M346" s="14"/>
      <c r="N346" s="14"/>
      <c r="O346" s="15"/>
      <c r="P346" s="13" t="s">
        <v>120</v>
      </c>
      <c r="Q346" s="13" t="s">
        <v>120</v>
      </c>
      <c r="R346" s="13" t="str">
        <f aca="false">TRIM(LEFT(A346,FIND("/",A346)-1))</f>
        <v>Traffic</v>
      </c>
      <c r="S346" s="13" t="str">
        <f aca="false">LEFT(C346,7)</f>
        <v>2026-08</v>
      </c>
    </row>
    <row r="347" customFormat="false" ht="15" hidden="false" customHeight="false" outlineLevel="0" collapsed="false">
      <c r="A347" s="13" t="s">
        <v>75</v>
      </c>
      <c r="B347" s="13" t="s">
        <v>79</v>
      </c>
      <c r="C347" s="13" t="s">
        <v>120</v>
      </c>
      <c r="D347" s="13" t="s">
        <v>69</v>
      </c>
      <c r="E347" s="13" t="s">
        <v>51</v>
      </c>
      <c r="F347" s="14" t="n">
        <v>7349</v>
      </c>
      <c r="G347" s="14" t="n">
        <v>7884</v>
      </c>
      <c r="H347" s="13" t="s">
        <v>52</v>
      </c>
      <c r="I347" s="14" t="n">
        <v>32100</v>
      </c>
      <c r="J347" s="14" t="n">
        <v>211</v>
      </c>
      <c r="K347" s="14"/>
      <c r="L347" s="14"/>
      <c r="M347" s="14"/>
      <c r="N347" s="14"/>
      <c r="O347" s="15"/>
      <c r="P347" s="13" t="s">
        <v>120</v>
      </c>
      <c r="Q347" s="13" t="s">
        <v>120</v>
      </c>
      <c r="R347" s="13" t="str">
        <f aca="false">TRIM(LEFT(A347,FIND("/",A347)-1))</f>
        <v>Traffic</v>
      </c>
      <c r="S347" s="13" t="str">
        <f aca="false">LEFT(C347,7)</f>
        <v>2026-08</v>
      </c>
    </row>
    <row r="348" customFormat="false" ht="15" hidden="false" customHeight="false" outlineLevel="0" collapsed="false">
      <c r="A348" s="13" t="s">
        <v>66</v>
      </c>
      <c r="B348" s="13" t="s">
        <v>67</v>
      </c>
      <c r="C348" s="13" t="s">
        <v>121</v>
      </c>
      <c r="D348" s="13" t="s">
        <v>69</v>
      </c>
      <c r="E348" s="13" t="s">
        <v>51</v>
      </c>
      <c r="F348" s="14" t="n">
        <v>109548</v>
      </c>
      <c r="G348" s="14" t="n">
        <v>109548</v>
      </c>
      <c r="H348" s="13" t="s">
        <v>52</v>
      </c>
      <c r="I348" s="14" t="n">
        <v>141175</v>
      </c>
      <c r="J348" s="14" t="n">
        <v>19</v>
      </c>
      <c r="K348" s="14"/>
      <c r="L348" s="14"/>
      <c r="M348" s="14"/>
      <c r="N348" s="14"/>
      <c r="O348" s="15"/>
      <c r="P348" s="13" t="s">
        <v>121</v>
      </c>
      <c r="Q348" s="13" t="s">
        <v>121</v>
      </c>
      <c r="R348" s="13" t="str">
        <f aca="false">TRIM(LEFT(A348,FIND("/",A348)-1))</f>
        <v>Awareness</v>
      </c>
      <c r="S348" s="13" t="str">
        <f aca="false">LEFT(C348,7)</f>
        <v>2026-08</v>
      </c>
    </row>
    <row r="349" customFormat="false" ht="15" hidden="false" customHeight="false" outlineLevel="0" collapsed="false">
      <c r="A349" s="13" t="s">
        <v>66</v>
      </c>
      <c r="B349" s="13" t="s">
        <v>70</v>
      </c>
      <c r="C349" s="13" t="s">
        <v>121</v>
      </c>
      <c r="D349" s="13" t="s">
        <v>69</v>
      </c>
      <c r="E349" s="13" t="s">
        <v>51</v>
      </c>
      <c r="F349" s="14" t="n">
        <v>15440</v>
      </c>
      <c r="G349" s="14" t="n">
        <v>15440</v>
      </c>
      <c r="H349" s="13" t="s">
        <v>52</v>
      </c>
      <c r="I349" s="14" t="n">
        <v>19753</v>
      </c>
      <c r="J349" s="14" t="n">
        <v>2</v>
      </c>
      <c r="K349" s="14"/>
      <c r="L349" s="14"/>
      <c r="M349" s="14"/>
      <c r="N349" s="14"/>
      <c r="O349" s="15"/>
      <c r="P349" s="13" t="s">
        <v>121</v>
      </c>
      <c r="Q349" s="13" t="s">
        <v>121</v>
      </c>
      <c r="R349" s="13" t="str">
        <f aca="false">TRIM(LEFT(A349,FIND("/",A349)-1))</f>
        <v>Awareness</v>
      </c>
      <c r="S349" s="13" t="str">
        <f aca="false">LEFT(C349,7)</f>
        <v>2026-08</v>
      </c>
    </row>
    <row r="350" customFormat="false" ht="15" hidden="false" customHeight="false" outlineLevel="0" collapsed="false">
      <c r="A350" s="13" t="s">
        <v>66</v>
      </c>
      <c r="B350" s="13" t="s">
        <v>71</v>
      </c>
      <c r="C350" s="13" t="s">
        <v>121</v>
      </c>
      <c r="D350" s="13" t="s">
        <v>69</v>
      </c>
      <c r="E350" s="13" t="s">
        <v>51</v>
      </c>
      <c r="F350" s="14" t="n">
        <v>2127</v>
      </c>
      <c r="G350" s="14" t="n">
        <v>2144</v>
      </c>
      <c r="H350" s="13" t="s">
        <v>52</v>
      </c>
      <c r="I350" s="14" t="n">
        <v>2782</v>
      </c>
      <c r="J350" s="14"/>
      <c r="K350" s="14"/>
      <c r="L350" s="14"/>
      <c r="M350" s="14"/>
      <c r="N350" s="14"/>
      <c r="O350" s="15"/>
      <c r="P350" s="13" t="s">
        <v>121</v>
      </c>
      <c r="Q350" s="13" t="s">
        <v>121</v>
      </c>
      <c r="R350" s="13" t="str">
        <f aca="false">TRIM(LEFT(A350,FIND("/",A350)-1))</f>
        <v>Awareness</v>
      </c>
      <c r="S350" s="13" t="str">
        <f aca="false">LEFT(C350,7)</f>
        <v>2026-08</v>
      </c>
    </row>
    <row r="351" customFormat="false" ht="15" hidden="false" customHeight="false" outlineLevel="0" collapsed="false">
      <c r="A351" s="13" t="s">
        <v>73</v>
      </c>
      <c r="B351" s="13" t="s">
        <v>74</v>
      </c>
      <c r="C351" s="13" t="s">
        <v>121</v>
      </c>
      <c r="D351" s="13" t="s">
        <v>69</v>
      </c>
      <c r="E351" s="13" t="s">
        <v>51</v>
      </c>
      <c r="F351" s="14" t="n">
        <v>6636</v>
      </c>
      <c r="G351" s="14" t="n">
        <v>8318</v>
      </c>
      <c r="H351" s="13" t="s">
        <v>52</v>
      </c>
      <c r="I351" s="14" t="n">
        <v>192003</v>
      </c>
      <c r="J351" s="14" t="n">
        <v>206</v>
      </c>
      <c r="K351" s="14" t="n">
        <v>1</v>
      </c>
      <c r="L351" s="14" t="n">
        <v>175868</v>
      </c>
      <c r="M351" s="14" t="n">
        <v>22</v>
      </c>
      <c r="N351" s="14" t="n">
        <v>3965382</v>
      </c>
      <c r="O351" s="15" t="n">
        <v>0.91596485</v>
      </c>
      <c r="P351" s="13" t="s">
        <v>121</v>
      </c>
      <c r="Q351" s="13" t="s">
        <v>121</v>
      </c>
      <c r="R351" s="13" t="str">
        <f aca="false">TRIM(LEFT(A351,FIND("/",A351)-1))</f>
        <v>Sales</v>
      </c>
      <c r="S351" s="13" t="str">
        <f aca="false">LEFT(C351,7)</f>
        <v>2026-08</v>
      </c>
    </row>
    <row r="352" customFormat="false" ht="15" hidden="false" customHeight="false" outlineLevel="0" collapsed="false">
      <c r="A352" s="13" t="s">
        <v>75</v>
      </c>
      <c r="B352" s="13" t="s">
        <v>76</v>
      </c>
      <c r="C352" s="13" t="s">
        <v>121</v>
      </c>
      <c r="D352" s="13" t="s">
        <v>69</v>
      </c>
      <c r="E352" s="13" t="s">
        <v>51</v>
      </c>
      <c r="F352" s="14" t="n">
        <v>78621</v>
      </c>
      <c r="G352" s="14" t="n">
        <v>102875</v>
      </c>
      <c r="H352" s="13" t="s">
        <v>52</v>
      </c>
      <c r="I352" s="14" t="n">
        <v>304146</v>
      </c>
      <c r="J352" s="14" t="n">
        <v>2131</v>
      </c>
      <c r="K352" s="14"/>
      <c r="L352" s="14"/>
      <c r="M352" s="14" t="n">
        <v>6</v>
      </c>
      <c r="N352" s="14" t="n">
        <v>886680</v>
      </c>
      <c r="O352" s="15"/>
      <c r="P352" s="13" t="s">
        <v>121</v>
      </c>
      <c r="Q352" s="13" t="s">
        <v>121</v>
      </c>
      <c r="R352" s="13" t="str">
        <f aca="false">TRIM(LEFT(A352,FIND("/",A352)-1))</f>
        <v>Traffic</v>
      </c>
      <c r="S352" s="13" t="str">
        <f aca="false">LEFT(C352,7)</f>
        <v>2026-08</v>
      </c>
    </row>
    <row r="353" customFormat="false" ht="15" hidden="false" customHeight="false" outlineLevel="0" collapsed="false">
      <c r="A353" s="13" t="s">
        <v>75</v>
      </c>
      <c r="B353" s="13" t="s">
        <v>77</v>
      </c>
      <c r="C353" s="13" t="s">
        <v>121</v>
      </c>
      <c r="D353" s="13" t="s">
        <v>69</v>
      </c>
      <c r="E353" s="13" t="s">
        <v>51</v>
      </c>
      <c r="F353" s="14" t="n">
        <v>620</v>
      </c>
      <c r="G353" s="14" t="n">
        <v>633</v>
      </c>
      <c r="H353" s="13" t="s">
        <v>52</v>
      </c>
      <c r="I353" s="14" t="n">
        <v>2468</v>
      </c>
      <c r="J353" s="14" t="n">
        <v>12</v>
      </c>
      <c r="K353" s="14"/>
      <c r="L353" s="14"/>
      <c r="M353" s="14"/>
      <c r="N353" s="14"/>
      <c r="O353" s="15"/>
      <c r="P353" s="13" t="s">
        <v>121</v>
      </c>
      <c r="Q353" s="13" t="s">
        <v>121</v>
      </c>
      <c r="R353" s="13" t="str">
        <f aca="false">TRIM(LEFT(A353,FIND("/",A353)-1))</f>
        <v>Traffic</v>
      </c>
      <c r="S353" s="13" t="str">
        <f aca="false">LEFT(C353,7)</f>
        <v>2026-08</v>
      </c>
    </row>
    <row r="354" customFormat="false" ht="15" hidden="false" customHeight="false" outlineLevel="0" collapsed="false">
      <c r="A354" s="13" t="s">
        <v>75</v>
      </c>
      <c r="B354" s="13" t="s">
        <v>79</v>
      </c>
      <c r="C354" s="13" t="s">
        <v>121</v>
      </c>
      <c r="D354" s="13" t="s">
        <v>69</v>
      </c>
      <c r="E354" s="13" t="s">
        <v>51</v>
      </c>
      <c r="F354" s="14" t="n">
        <v>5475</v>
      </c>
      <c r="G354" s="14" t="n">
        <v>5751</v>
      </c>
      <c r="H354" s="13" t="s">
        <v>52</v>
      </c>
      <c r="I354" s="14" t="n">
        <v>16025</v>
      </c>
      <c r="J354" s="14" t="n">
        <v>104</v>
      </c>
      <c r="K354" s="14"/>
      <c r="L354" s="14"/>
      <c r="M354" s="14" t="n">
        <v>1</v>
      </c>
      <c r="N354" s="14" t="n">
        <v>178171</v>
      </c>
      <c r="O354" s="15"/>
      <c r="P354" s="13" t="s">
        <v>121</v>
      </c>
      <c r="Q354" s="13" t="s">
        <v>121</v>
      </c>
      <c r="R354" s="13" t="str">
        <f aca="false">TRIM(LEFT(A354,FIND("/",A354)-1))</f>
        <v>Traffic</v>
      </c>
      <c r="S354" s="13" t="str">
        <f aca="false">LEFT(C354,7)</f>
        <v>2026-08</v>
      </c>
    </row>
    <row r="355" customFormat="false" ht="15" hidden="false" customHeight="false" outlineLevel="0" collapsed="false">
      <c r="A355" s="13" t="s">
        <v>66</v>
      </c>
      <c r="B355" s="13" t="s">
        <v>67</v>
      </c>
      <c r="C355" s="13" t="s">
        <v>122</v>
      </c>
      <c r="D355" s="13" t="s">
        <v>69</v>
      </c>
      <c r="E355" s="13" t="s">
        <v>51</v>
      </c>
      <c r="F355" s="14" t="n">
        <v>103699</v>
      </c>
      <c r="G355" s="14" t="n">
        <v>103699</v>
      </c>
      <c r="H355" s="13" t="s">
        <v>52</v>
      </c>
      <c r="I355" s="14" t="n">
        <v>136554</v>
      </c>
      <c r="J355" s="14" t="n">
        <v>12</v>
      </c>
      <c r="K355" s="14"/>
      <c r="L355" s="14"/>
      <c r="M355" s="14"/>
      <c r="N355" s="14"/>
      <c r="O355" s="15"/>
      <c r="P355" s="13" t="s">
        <v>122</v>
      </c>
      <c r="Q355" s="13" t="s">
        <v>122</v>
      </c>
      <c r="R355" s="13" t="str">
        <f aca="false">TRIM(LEFT(A355,FIND("/",A355)-1))</f>
        <v>Awareness</v>
      </c>
      <c r="S355" s="13" t="str">
        <f aca="false">LEFT(C355,7)</f>
        <v>2026-08</v>
      </c>
    </row>
    <row r="356" customFormat="false" ht="15" hidden="false" customHeight="false" outlineLevel="0" collapsed="false">
      <c r="A356" s="13" t="s">
        <v>66</v>
      </c>
      <c r="B356" s="13" t="s">
        <v>70</v>
      </c>
      <c r="C356" s="13" t="s">
        <v>122</v>
      </c>
      <c r="D356" s="13" t="s">
        <v>69</v>
      </c>
      <c r="E356" s="13" t="s">
        <v>51</v>
      </c>
      <c r="F356" s="14" t="n">
        <v>5370</v>
      </c>
      <c r="G356" s="14" t="n">
        <v>5452</v>
      </c>
      <c r="H356" s="13" t="s">
        <v>52</v>
      </c>
      <c r="I356" s="14" t="n">
        <v>7133</v>
      </c>
      <c r="J356" s="14" t="n">
        <v>2</v>
      </c>
      <c r="K356" s="14"/>
      <c r="L356" s="14"/>
      <c r="M356" s="14"/>
      <c r="N356" s="14"/>
      <c r="O356" s="15"/>
      <c r="P356" s="13" t="s">
        <v>122</v>
      </c>
      <c r="Q356" s="13" t="s">
        <v>122</v>
      </c>
      <c r="R356" s="13" t="str">
        <f aca="false">TRIM(LEFT(A356,FIND("/",A356)-1))</f>
        <v>Awareness</v>
      </c>
      <c r="S356" s="13" t="str">
        <f aca="false">LEFT(C356,7)</f>
        <v>2026-08</v>
      </c>
    </row>
    <row r="357" customFormat="false" ht="15" hidden="false" customHeight="false" outlineLevel="0" collapsed="false">
      <c r="A357" s="13" t="s">
        <v>66</v>
      </c>
      <c r="B357" s="13" t="s">
        <v>71</v>
      </c>
      <c r="C357" s="13" t="s">
        <v>122</v>
      </c>
      <c r="D357" s="13" t="s">
        <v>69</v>
      </c>
      <c r="E357" s="13" t="s">
        <v>51</v>
      </c>
      <c r="F357" s="14" t="n">
        <v>3312</v>
      </c>
      <c r="G357" s="14" t="n">
        <v>3312</v>
      </c>
      <c r="H357" s="13" t="s">
        <v>52</v>
      </c>
      <c r="I357" s="14" t="n">
        <v>4225</v>
      </c>
      <c r="J357" s="14" t="n">
        <v>2</v>
      </c>
      <c r="K357" s="14"/>
      <c r="L357" s="14"/>
      <c r="M357" s="14"/>
      <c r="N357" s="14"/>
      <c r="O357" s="15"/>
      <c r="P357" s="13" t="s">
        <v>122</v>
      </c>
      <c r="Q357" s="13" t="s">
        <v>122</v>
      </c>
      <c r="R357" s="13" t="str">
        <f aca="false">TRIM(LEFT(A357,FIND("/",A357)-1))</f>
        <v>Awareness</v>
      </c>
      <c r="S357" s="13" t="str">
        <f aca="false">LEFT(C357,7)</f>
        <v>2026-08</v>
      </c>
    </row>
    <row r="358" customFormat="false" ht="15" hidden="false" customHeight="false" outlineLevel="0" collapsed="false">
      <c r="A358" s="13" t="s">
        <v>73</v>
      </c>
      <c r="B358" s="13" t="s">
        <v>74</v>
      </c>
      <c r="C358" s="13" t="s">
        <v>122</v>
      </c>
      <c r="D358" s="13" t="s">
        <v>69</v>
      </c>
      <c r="E358" s="13" t="s">
        <v>51</v>
      </c>
      <c r="F358" s="14" t="n">
        <v>8645</v>
      </c>
      <c r="G358" s="14" t="n">
        <v>10321</v>
      </c>
      <c r="H358" s="13" t="s">
        <v>52</v>
      </c>
      <c r="I358" s="14" t="n">
        <v>234842</v>
      </c>
      <c r="J358" s="14" t="n">
        <v>287</v>
      </c>
      <c r="K358" s="14" t="n">
        <v>5</v>
      </c>
      <c r="L358" s="14" t="n">
        <v>924126</v>
      </c>
      <c r="M358" s="14" t="n">
        <v>49</v>
      </c>
      <c r="N358" s="14" t="n">
        <v>7991109</v>
      </c>
      <c r="O358" s="15" t="n">
        <v>3.93509679</v>
      </c>
      <c r="P358" s="13" t="s">
        <v>122</v>
      </c>
      <c r="Q358" s="13" t="s">
        <v>122</v>
      </c>
      <c r="R358" s="13" t="str">
        <f aca="false">TRIM(LEFT(A358,FIND("/",A358)-1))</f>
        <v>Sales</v>
      </c>
      <c r="S358" s="13" t="str">
        <f aca="false">LEFT(C358,7)</f>
        <v>2026-08</v>
      </c>
    </row>
    <row r="359" customFormat="false" ht="15" hidden="false" customHeight="false" outlineLevel="0" collapsed="false">
      <c r="A359" s="13" t="s">
        <v>75</v>
      </c>
      <c r="B359" s="13" t="s">
        <v>76</v>
      </c>
      <c r="C359" s="13" t="s">
        <v>122</v>
      </c>
      <c r="D359" s="13" t="s">
        <v>69</v>
      </c>
      <c r="E359" s="13" t="s">
        <v>51</v>
      </c>
      <c r="F359" s="14" t="n">
        <v>74949</v>
      </c>
      <c r="G359" s="14" t="n">
        <v>98138</v>
      </c>
      <c r="H359" s="13" t="s">
        <v>52</v>
      </c>
      <c r="I359" s="14" t="n">
        <v>287728</v>
      </c>
      <c r="J359" s="14" t="n">
        <v>1947</v>
      </c>
      <c r="K359" s="14"/>
      <c r="L359" s="14"/>
      <c r="M359" s="14" t="n">
        <v>2</v>
      </c>
      <c r="N359" s="14" t="n">
        <v>294953</v>
      </c>
      <c r="O359" s="15"/>
      <c r="P359" s="13" t="s">
        <v>122</v>
      </c>
      <c r="Q359" s="13" t="s">
        <v>122</v>
      </c>
      <c r="R359" s="13" t="str">
        <f aca="false">TRIM(LEFT(A359,FIND("/",A359)-1))</f>
        <v>Traffic</v>
      </c>
      <c r="S359" s="13" t="str">
        <f aca="false">LEFT(C359,7)</f>
        <v>2026-08</v>
      </c>
    </row>
    <row r="360" customFormat="false" ht="15" hidden="false" customHeight="false" outlineLevel="0" collapsed="false">
      <c r="A360" s="13" t="s">
        <v>75</v>
      </c>
      <c r="B360" s="13" t="s">
        <v>77</v>
      </c>
      <c r="C360" s="13" t="s">
        <v>122</v>
      </c>
      <c r="D360" s="13" t="s">
        <v>69</v>
      </c>
      <c r="E360" s="13" t="s">
        <v>51</v>
      </c>
      <c r="F360" s="14" t="n">
        <v>786</v>
      </c>
      <c r="G360" s="14" t="n">
        <v>799</v>
      </c>
      <c r="H360" s="13" t="s">
        <v>52</v>
      </c>
      <c r="I360" s="14" t="n">
        <v>1790</v>
      </c>
      <c r="J360" s="14" t="n">
        <v>21</v>
      </c>
      <c r="K360" s="14"/>
      <c r="L360" s="14"/>
      <c r="M360" s="14"/>
      <c r="N360" s="14"/>
      <c r="O360" s="15"/>
      <c r="P360" s="13" t="s">
        <v>122</v>
      </c>
      <c r="Q360" s="13" t="s">
        <v>122</v>
      </c>
      <c r="R360" s="13" t="str">
        <f aca="false">TRIM(LEFT(A360,FIND("/",A360)-1))</f>
        <v>Traffic</v>
      </c>
      <c r="S360" s="13" t="str">
        <f aca="false">LEFT(C360,7)</f>
        <v>2026-08</v>
      </c>
    </row>
    <row r="361" customFormat="false" ht="15" hidden="false" customHeight="false" outlineLevel="0" collapsed="false">
      <c r="A361" s="13" t="s">
        <v>75</v>
      </c>
      <c r="B361" s="13" t="s">
        <v>79</v>
      </c>
      <c r="C361" s="13" t="s">
        <v>122</v>
      </c>
      <c r="D361" s="13" t="s">
        <v>69</v>
      </c>
      <c r="E361" s="13" t="s">
        <v>51</v>
      </c>
      <c r="F361" s="14" t="n">
        <v>2498</v>
      </c>
      <c r="G361" s="14" t="n">
        <v>2661</v>
      </c>
      <c r="H361" s="13" t="s">
        <v>52</v>
      </c>
      <c r="I361" s="14" t="n">
        <v>8022</v>
      </c>
      <c r="J361" s="14" t="n">
        <v>61</v>
      </c>
      <c r="K361" s="14"/>
      <c r="L361" s="14"/>
      <c r="M361" s="14"/>
      <c r="N361" s="14"/>
      <c r="O361" s="15"/>
      <c r="P361" s="13" t="s">
        <v>122</v>
      </c>
      <c r="Q361" s="13" t="s">
        <v>122</v>
      </c>
      <c r="R361" s="13" t="str">
        <f aca="false">TRIM(LEFT(A361,FIND("/",A361)-1))</f>
        <v>Traffic</v>
      </c>
      <c r="S361" s="13" t="str">
        <f aca="false">LEFT(C361,7)</f>
        <v>2026-08</v>
      </c>
    </row>
    <row r="362" customFormat="false" ht="15" hidden="false" customHeight="false" outlineLevel="0" collapsed="false">
      <c r="A362" s="13" t="s">
        <v>66</v>
      </c>
      <c r="B362" s="13" t="s">
        <v>67</v>
      </c>
      <c r="C362" s="13" t="s">
        <v>123</v>
      </c>
      <c r="D362" s="13" t="s">
        <v>69</v>
      </c>
      <c r="E362" s="13" t="s">
        <v>51</v>
      </c>
      <c r="F362" s="14" t="n">
        <v>97527</v>
      </c>
      <c r="G362" s="14" t="n">
        <v>101216</v>
      </c>
      <c r="H362" s="13" t="s">
        <v>52</v>
      </c>
      <c r="I362" s="14" t="n">
        <v>132395</v>
      </c>
      <c r="J362" s="14" t="n">
        <v>12</v>
      </c>
      <c r="K362" s="14"/>
      <c r="L362" s="14"/>
      <c r="M362" s="14"/>
      <c r="N362" s="14"/>
      <c r="O362" s="15"/>
      <c r="P362" s="13" t="s">
        <v>123</v>
      </c>
      <c r="Q362" s="13" t="s">
        <v>123</v>
      </c>
      <c r="R362" s="13" t="str">
        <f aca="false">TRIM(LEFT(A362,FIND("/",A362)-1))</f>
        <v>Awareness</v>
      </c>
      <c r="S362" s="13" t="str">
        <f aca="false">LEFT(C362,7)</f>
        <v>2026-08</v>
      </c>
    </row>
    <row r="363" customFormat="false" ht="15" hidden="false" customHeight="false" outlineLevel="0" collapsed="false">
      <c r="A363" s="13" t="s">
        <v>66</v>
      </c>
      <c r="B363" s="13" t="s">
        <v>70</v>
      </c>
      <c r="C363" s="13" t="s">
        <v>123</v>
      </c>
      <c r="D363" s="13" t="s">
        <v>69</v>
      </c>
      <c r="E363" s="13" t="s">
        <v>51</v>
      </c>
      <c r="F363" s="14" t="n">
        <v>2728</v>
      </c>
      <c r="G363" s="14" t="n">
        <v>2735</v>
      </c>
      <c r="H363" s="13" t="s">
        <v>52</v>
      </c>
      <c r="I363" s="14" t="n">
        <v>3493</v>
      </c>
      <c r="J363" s="14"/>
      <c r="K363" s="14"/>
      <c r="L363" s="14"/>
      <c r="M363" s="14"/>
      <c r="N363" s="14"/>
      <c r="O363" s="15"/>
      <c r="P363" s="13" t="s">
        <v>123</v>
      </c>
      <c r="Q363" s="13" t="s">
        <v>123</v>
      </c>
      <c r="R363" s="13" t="str">
        <f aca="false">TRIM(LEFT(A363,FIND("/",A363)-1))</f>
        <v>Awareness</v>
      </c>
      <c r="S363" s="13" t="str">
        <f aca="false">LEFT(C363,7)</f>
        <v>2026-08</v>
      </c>
    </row>
    <row r="364" customFormat="false" ht="15" hidden="false" customHeight="false" outlineLevel="0" collapsed="false">
      <c r="A364" s="13" t="s">
        <v>66</v>
      </c>
      <c r="B364" s="13" t="s">
        <v>71</v>
      </c>
      <c r="C364" s="13" t="s">
        <v>123</v>
      </c>
      <c r="D364" s="13" t="s">
        <v>69</v>
      </c>
      <c r="E364" s="13" t="s">
        <v>51</v>
      </c>
      <c r="F364" s="14" t="n">
        <v>2554</v>
      </c>
      <c r="G364" s="14" t="n">
        <v>2554</v>
      </c>
      <c r="H364" s="13" t="s">
        <v>52</v>
      </c>
      <c r="I364" s="14" t="n">
        <v>3315</v>
      </c>
      <c r="J364" s="14" t="n">
        <v>2</v>
      </c>
      <c r="K364" s="14"/>
      <c r="L364" s="14"/>
      <c r="M364" s="14"/>
      <c r="N364" s="14"/>
      <c r="O364" s="15"/>
      <c r="P364" s="13" t="s">
        <v>123</v>
      </c>
      <c r="Q364" s="13" t="s">
        <v>123</v>
      </c>
      <c r="R364" s="13" t="str">
        <f aca="false">TRIM(LEFT(A364,FIND("/",A364)-1))</f>
        <v>Awareness</v>
      </c>
      <c r="S364" s="13" t="str">
        <f aca="false">LEFT(C364,7)</f>
        <v>2026-08</v>
      </c>
    </row>
    <row r="365" customFormat="false" ht="15" hidden="false" customHeight="false" outlineLevel="0" collapsed="false">
      <c r="A365" s="13" t="s">
        <v>73</v>
      </c>
      <c r="B365" s="13" t="s">
        <v>74</v>
      </c>
      <c r="C365" s="13" t="s">
        <v>123</v>
      </c>
      <c r="D365" s="13" t="s">
        <v>69</v>
      </c>
      <c r="E365" s="13" t="s">
        <v>51</v>
      </c>
      <c r="F365" s="14" t="n">
        <v>6944</v>
      </c>
      <c r="G365" s="14" t="n">
        <v>8475</v>
      </c>
      <c r="H365" s="13" t="s">
        <v>52</v>
      </c>
      <c r="I365" s="14" t="n">
        <v>180958</v>
      </c>
      <c r="J365" s="14" t="n">
        <v>226</v>
      </c>
      <c r="K365" s="14" t="n">
        <v>5</v>
      </c>
      <c r="L365" s="14" t="n">
        <v>915761</v>
      </c>
      <c r="M365" s="14" t="n">
        <v>44</v>
      </c>
      <c r="N365" s="14" t="n">
        <v>7573127</v>
      </c>
      <c r="O365" s="15" t="n">
        <v>5.06062733</v>
      </c>
      <c r="P365" s="13" t="s">
        <v>123</v>
      </c>
      <c r="Q365" s="13" t="s">
        <v>123</v>
      </c>
      <c r="R365" s="13" t="str">
        <f aca="false">TRIM(LEFT(A365,FIND("/",A365)-1))</f>
        <v>Sales</v>
      </c>
      <c r="S365" s="13" t="str">
        <f aca="false">LEFT(C365,7)</f>
        <v>2026-08</v>
      </c>
    </row>
    <row r="366" customFormat="false" ht="15" hidden="false" customHeight="false" outlineLevel="0" collapsed="false">
      <c r="A366" s="13" t="s">
        <v>75</v>
      </c>
      <c r="B366" s="13" t="s">
        <v>76</v>
      </c>
      <c r="C366" s="13" t="s">
        <v>123</v>
      </c>
      <c r="D366" s="13" t="s">
        <v>69</v>
      </c>
      <c r="E366" s="13" t="s">
        <v>51</v>
      </c>
      <c r="F366" s="14" t="n">
        <v>80208</v>
      </c>
      <c r="G366" s="14" t="n">
        <v>102760</v>
      </c>
      <c r="H366" s="13" t="s">
        <v>52</v>
      </c>
      <c r="I366" s="14" t="n">
        <v>296277</v>
      </c>
      <c r="J366" s="14" t="n">
        <v>1964</v>
      </c>
      <c r="K366" s="14" t="n">
        <v>1</v>
      </c>
      <c r="L366" s="14" t="n">
        <v>206571</v>
      </c>
      <c r="M366" s="14" t="n">
        <v>9</v>
      </c>
      <c r="N366" s="14" t="n">
        <v>1582674</v>
      </c>
      <c r="O366" s="15" t="n">
        <v>0.69722253</v>
      </c>
      <c r="P366" s="13" t="s">
        <v>123</v>
      </c>
      <c r="Q366" s="13" t="s">
        <v>123</v>
      </c>
      <c r="R366" s="13" t="str">
        <f aca="false">TRIM(LEFT(A366,FIND("/",A366)-1))</f>
        <v>Traffic</v>
      </c>
      <c r="S366" s="13" t="str">
        <f aca="false">LEFT(C366,7)</f>
        <v>2026-08</v>
      </c>
    </row>
    <row r="367" customFormat="false" ht="15" hidden="false" customHeight="false" outlineLevel="0" collapsed="false">
      <c r="A367" s="13" t="s">
        <v>75</v>
      </c>
      <c r="B367" s="13" t="s">
        <v>77</v>
      </c>
      <c r="C367" s="13" t="s">
        <v>123</v>
      </c>
      <c r="D367" s="13" t="s">
        <v>69</v>
      </c>
      <c r="E367" s="13" t="s">
        <v>51</v>
      </c>
      <c r="F367" s="14" t="n">
        <v>494</v>
      </c>
      <c r="G367" s="14" t="n">
        <v>527</v>
      </c>
      <c r="H367" s="13" t="s">
        <v>52</v>
      </c>
      <c r="I367" s="14" t="n">
        <v>2659</v>
      </c>
      <c r="J367" s="14" t="n">
        <v>17</v>
      </c>
      <c r="K367" s="14"/>
      <c r="L367" s="14"/>
      <c r="M367" s="14"/>
      <c r="N367" s="14"/>
      <c r="O367" s="15"/>
      <c r="P367" s="13" t="s">
        <v>123</v>
      </c>
      <c r="Q367" s="13" t="s">
        <v>123</v>
      </c>
      <c r="R367" s="13" t="str">
        <f aca="false">TRIM(LEFT(A367,FIND("/",A367)-1))</f>
        <v>Traffic</v>
      </c>
      <c r="S367" s="13" t="str">
        <f aca="false">LEFT(C367,7)</f>
        <v>2026-08</v>
      </c>
    </row>
    <row r="368" customFormat="false" ht="15" hidden="false" customHeight="false" outlineLevel="0" collapsed="false">
      <c r="A368" s="13" t="s">
        <v>75</v>
      </c>
      <c r="B368" s="13" t="s">
        <v>79</v>
      </c>
      <c r="C368" s="13" t="s">
        <v>123</v>
      </c>
      <c r="D368" s="13" t="s">
        <v>69</v>
      </c>
      <c r="E368" s="13" t="s">
        <v>51</v>
      </c>
      <c r="F368" s="14" t="n">
        <v>1562</v>
      </c>
      <c r="G368" s="14" t="n">
        <v>1603</v>
      </c>
      <c r="H368" s="13" t="s">
        <v>52</v>
      </c>
      <c r="I368" s="14" t="n">
        <v>3495</v>
      </c>
      <c r="J368" s="14" t="n">
        <v>23</v>
      </c>
      <c r="K368" s="14"/>
      <c r="L368" s="14"/>
      <c r="M368" s="14"/>
      <c r="N368" s="14"/>
      <c r="O368" s="15"/>
      <c r="P368" s="13" t="s">
        <v>123</v>
      </c>
      <c r="Q368" s="13" t="s">
        <v>123</v>
      </c>
      <c r="R368" s="13" t="str">
        <f aca="false">TRIM(LEFT(A368,FIND("/",A368)-1))</f>
        <v>Traffic</v>
      </c>
      <c r="S368" s="13" t="str">
        <f aca="false">LEFT(C368,7)</f>
        <v>2026-08</v>
      </c>
    </row>
    <row r="369" customFormat="false" ht="15" hidden="false" customHeight="false" outlineLevel="0" collapsed="false">
      <c r="A369" s="13" t="s">
        <v>66</v>
      </c>
      <c r="B369" s="13" t="s">
        <v>67</v>
      </c>
      <c r="C369" s="13" t="s">
        <v>124</v>
      </c>
      <c r="D369" s="13" t="s">
        <v>69</v>
      </c>
      <c r="E369" s="13" t="s">
        <v>51</v>
      </c>
      <c r="F369" s="14" t="n">
        <v>109920</v>
      </c>
      <c r="G369" s="14" t="n">
        <v>109920</v>
      </c>
      <c r="H369" s="13" t="s">
        <v>52</v>
      </c>
      <c r="I369" s="14" t="n">
        <v>145534</v>
      </c>
      <c r="J369" s="14" t="n">
        <v>28</v>
      </c>
      <c r="K369" s="14"/>
      <c r="L369" s="14"/>
      <c r="M369" s="14"/>
      <c r="N369" s="14"/>
      <c r="O369" s="15"/>
      <c r="P369" s="13" t="s">
        <v>124</v>
      </c>
      <c r="Q369" s="13" t="s">
        <v>124</v>
      </c>
      <c r="R369" s="13" t="str">
        <f aca="false">TRIM(LEFT(A369,FIND("/",A369)-1))</f>
        <v>Awareness</v>
      </c>
      <c r="S369" s="13" t="str">
        <f aca="false">LEFT(C369,7)</f>
        <v>2026-08</v>
      </c>
    </row>
    <row r="370" customFormat="false" ht="15" hidden="false" customHeight="false" outlineLevel="0" collapsed="false">
      <c r="A370" s="13" t="s">
        <v>66</v>
      </c>
      <c r="B370" s="13" t="s">
        <v>70</v>
      </c>
      <c r="C370" s="13" t="s">
        <v>124</v>
      </c>
      <c r="D370" s="13" t="s">
        <v>69</v>
      </c>
      <c r="E370" s="13" t="s">
        <v>51</v>
      </c>
      <c r="F370" s="14" t="n">
        <v>5591</v>
      </c>
      <c r="G370" s="14" t="n">
        <v>5750</v>
      </c>
      <c r="H370" s="13" t="s">
        <v>52</v>
      </c>
      <c r="I370" s="14" t="n">
        <v>7298</v>
      </c>
      <c r="J370" s="14"/>
      <c r="K370" s="14"/>
      <c r="L370" s="14"/>
      <c r="M370" s="14"/>
      <c r="N370" s="14"/>
      <c r="O370" s="15"/>
      <c r="P370" s="13" t="s">
        <v>124</v>
      </c>
      <c r="Q370" s="13" t="s">
        <v>124</v>
      </c>
      <c r="R370" s="13" t="str">
        <f aca="false">TRIM(LEFT(A370,FIND("/",A370)-1))</f>
        <v>Awareness</v>
      </c>
      <c r="S370" s="13" t="str">
        <f aca="false">LEFT(C370,7)</f>
        <v>2026-08</v>
      </c>
    </row>
    <row r="371" customFormat="false" ht="15" hidden="false" customHeight="false" outlineLevel="0" collapsed="false">
      <c r="A371" s="13" t="s">
        <v>66</v>
      </c>
      <c r="B371" s="13" t="s">
        <v>71</v>
      </c>
      <c r="C371" s="13" t="s">
        <v>124</v>
      </c>
      <c r="D371" s="13" t="s">
        <v>69</v>
      </c>
      <c r="E371" s="13" t="s">
        <v>51</v>
      </c>
      <c r="F371" s="14" t="n">
        <v>2365</v>
      </c>
      <c r="G371" s="14" t="n">
        <v>2365</v>
      </c>
      <c r="H371" s="13" t="s">
        <v>52</v>
      </c>
      <c r="I371" s="14" t="n">
        <v>3029</v>
      </c>
      <c r="J371" s="14" t="n">
        <v>3</v>
      </c>
      <c r="K371" s="14"/>
      <c r="L371" s="14"/>
      <c r="M371" s="14"/>
      <c r="N371" s="14"/>
      <c r="O371" s="15"/>
      <c r="P371" s="13" t="s">
        <v>124</v>
      </c>
      <c r="Q371" s="13" t="s">
        <v>124</v>
      </c>
      <c r="R371" s="13" t="str">
        <f aca="false">TRIM(LEFT(A371,FIND("/",A371)-1))</f>
        <v>Awareness</v>
      </c>
      <c r="S371" s="13" t="str">
        <f aca="false">LEFT(C371,7)</f>
        <v>2026-08</v>
      </c>
    </row>
    <row r="372" customFormat="false" ht="15" hidden="false" customHeight="false" outlineLevel="0" collapsed="false">
      <c r="A372" s="13" t="s">
        <v>73</v>
      </c>
      <c r="B372" s="13" t="s">
        <v>74</v>
      </c>
      <c r="C372" s="13" t="s">
        <v>124</v>
      </c>
      <c r="D372" s="13" t="s">
        <v>69</v>
      </c>
      <c r="E372" s="13" t="s">
        <v>51</v>
      </c>
      <c r="F372" s="14" t="n">
        <v>9704</v>
      </c>
      <c r="G372" s="14" t="n">
        <v>11613</v>
      </c>
      <c r="H372" s="13" t="s">
        <v>52</v>
      </c>
      <c r="I372" s="14" t="n">
        <v>209938</v>
      </c>
      <c r="J372" s="14" t="n">
        <v>227</v>
      </c>
      <c r="K372" s="14" t="n">
        <v>1</v>
      </c>
      <c r="L372" s="14" t="n">
        <v>194044</v>
      </c>
      <c r="M372" s="14" t="n">
        <v>22</v>
      </c>
      <c r="N372" s="14" t="n">
        <v>3701297</v>
      </c>
      <c r="O372" s="15" t="n">
        <v>0.92429193</v>
      </c>
      <c r="P372" s="13" t="s">
        <v>124</v>
      </c>
      <c r="Q372" s="13" t="s">
        <v>124</v>
      </c>
      <c r="R372" s="13" t="str">
        <f aca="false">TRIM(LEFT(A372,FIND("/",A372)-1))</f>
        <v>Sales</v>
      </c>
      <c r="S372" s="13" t="str">
        <f aca="false">LEFT(C372,7)</f>
        <v>2026-08</v>
      </c>
    </row>
    <row r="373" customFormat="false" ht="15" hidden="false" customHeight="false" outlineLevel="0" collapsed="false">
      <c r="A373" s="13" t="s">
        <v>75</v>
      </c>
      <c r="B373" s="13" t="s">
        <v>76</v>
      </c>
      <c r="C373" s="13" t="s">
        <v>124</v>
      </c>
      <c r="D373" s="13" t="s">
        <v>69</v>
      </c>
      <c r="E373" s="13" t="s">
        <v>51</v>
      </c>
      <c r="F373" s="14" t="n">
        <v>70631</v>
      </c>
      <c r="G373" s="14" t="n">
        <v>89616</v>
      </c>
      <c r="H373" s="13" t="s">
        <v>52</v>
      </c>
      <c r="I373" s="14" t="n">
        <v>264512</v>
      </c>
      <c r="J373" s="14" t="n">
        <v>1805</v>
      </c>
      <c r="K373" s="14"/>
      <c r="L373" s="14"/>
      <c r="M373" s="14" t="n">
        <v>5</v>
      </c>
      <c r="N373" s="14" t="n">
        <v>828316</v>
      </c>
      <c r="O373" s="15"/>
      <c r="P373" s="13" t="s">
        <v>124</v>
      </c>
      <c r="Q373" s="13" t="s">
        <v>124</v>
      </c>
      <c r="R373" s="13" t="str">
        <f aca="false">TRIM(LEFT(A373,FIND("/",A373)-1))</f>
        <v>Traffic</v>
      </c>
      <c r="S373" s="13" t="str">
        <f aca="false">LEFT(C373,7)</f>
        <v>2026-08</v>
      </c>
    </row>
    <row r="374" customFormat="false" ht="15" hidden="false" customHeight="false" outlineLevel="0" collapsed="false">
      <c r="A374" s="13" t="s">
        <v>75</v>
      </c>
      <c r="B374" s="13" t="s">
        <v>77</v>
      </c>
      <c r="C374" s="13" t="s">
        <v>124</v>
      </c>
      <c r="D374" s="13" t="s">
        <v>69</v>
      </c>
      <c r="E374" s="13" t="s">
        <v>51</v>
      </c>
      <c r="F374" s="14" t="n">
        <v>757</v>
      </c>
      <c r="G374" s="14" t="n">
        <v>809</v>
      </c>
      <c r="H374" s="13" t="s">
        <v>52</v>
      </c>
      <c r="I374" s="14" t="n">
        <v>2750</v>
      </c>
      <c r="J374" s="14" t="n">
        <v>25</v>
      </c>
      <c r="K374" s="14"/>
      <c r="L374" s="14"/>
      <c r="M374" s="14" t="n">
        <v>1</v>
      </c>
      <c r="N374" s="14" t="n">
        <v>161967</v>
      </c>
      <c r="O374" s="15"/>
      <c r="P374" s="13" t="s">
        <v>124</v>
      </c>
      <c r="Q374" s="13" t="s">
        <v>124</v>
      </c>
      <c r="R374" s="13" t="str">
        <f aca="false">TRIM(LEFT(A374,FIND("/",A374)-1))</f>
        <v>Traffic</v>
      </c>
      <c r="S374" s="13" t="str">
        <f aca="false">LEFT(C374,7)</f>
        <v>2026-08</v>
      </c>
    </row>
    <row r="375" customFormat="false" ht="15" hidden="false" customHeight="false" outlineLevel="0" collapsed="false">
      <c r="A375" s="13" t="s">
        <v>75</v>
      </c>
      <c r="B375" s="13" t="s">
        <v>79</v>
      </c>
      <c r="C375" s="13" t="s">
        <v>124</v>
      </c>
      <c r="D375" s="13" t="s">
        <v>69</v>
      </c>
      <c r="E375" s="13" t="s">
        <v>51</v>
      </c>
      <c r="F375" s="14" t="n">
        <v>969</v>
      </c>
      <c r="G375" s="14" t="n">
        <v>999</v>
      </c>
      <c r="H375" s="13" t="s">
        <v>52</v>
      </c>
      <c r="I375" s="14" t="n">
        <v>4580</v>
      </c>
      <c r="J375" s="14" t="n">
        <v>34</v>
      </c>
      <c r="K375" s="14"/>
      <c r="L375" s="14"/>
      <c r="M375" s="14"/>
      <c r="N375" s="14"/>
      <c r="O375" s="15"/>
      <c r="P375" s="13" t="s">
        <v>124</v>
      </c>
      <c r="Q375" s="13" t="s">
        <v>124</v>
      </c>
      <c r="R375" s="13" t="str">
        <f aca="false">TRIM(LEFT(A375,FIND("/",A375)-1))</f>
        <v>Traffic</v>
      </c>
      <c r="S375" s="13" t="str">
        <f aca="false">LEFT(C375,7)</f>
        <v>2026-08</v>
      </c>
    </row>
    <row r="376" customFormat="false" ht="15" hidden="false" customHeight="false" outlineLevel="0" collapsed="false">
      <c r="A376" s="13" t="s">
        <v>66</v>
      </c>
      <c r="B376" s="13" t="s">
        <v>67</v>
      </c>
      <c r="C376" s="13" t="s">
        <v>125</v>
      </c>
      <c r="D376" s="13" t="s">
        <v>69</v>
      </c>
      <c r="E376" s="13" t="s">
        <v>51</v>
      </c>
      <c r="F376" s="14" t="n">
        <v>95306</v>
      </c>
      <c r="G376" s="14" t="n">
        <v>98368</v>
      </c>
      <c r="H376" s="13" t="s">
        <v>52</v>
      </c>
      <c r="I376" s="14" t="n">
        <v>131056</v>
      </c>
      <c r="J376" s="14" t="n">
        <v>16</v>
      </c>
      <c r="K376" s="14"/>
      <c r="L376" s="14"/>
      <c r="M376" s="14"/>
      <c r="N376" s="14"/>
      <c r="O376" s="15"/>
      <c r="P376" s="13" t="s">
        <v>125</v>
      </c>
      <c r="Q376" s="13" t="s">
        <v>125</v>
      </c>
      <c r="R376" s="13" t="str">
        <f aca="false">TRIM(LEFT(A376,FIND("/",A376)-1))</f>
        <v>Awareness</v>
      </c>
      <c r="S376" s="13" t="str">
        <f aca="false">LEFT(C376,7)</f>
        <v>2026-08</v>
      </c>
    </row>
    <row r="377" customFormat="false" ht="15" hidden="false" customHeight="false" outlineLevel="0" collapsed="false">
      <c r="A377" s="13" t="s">
        <v>66</v>
      </c>
      <c r="B377" s="13" t="s">
        <v>70</v>
      </c>
      <c r="C377" s="13" t="s">
        <v>125</v>
      </c>
      <c r="D377" s="13" t="s">
        <v>69</v>
      </c>
      <c r="E377" s="13" t="s">
        <v>51</v>
      </c>
      <c r="F377" s="14" t="n">
        <v>7234</v>
      </c>
      <c r="G377" s="14" t="n">
        <v>7234</v>
      </c>
      <c r="H377" s="13" t="s">
        <v>52</v>
      </c>
      <c r="I377" s="14" t="n">
        <v>9486</v>
      </c>
      <c r="J377" s="14" t="n">
        <v>1</v>
      </c>
      <c r="K377" s="14"/>
      <c r="L377" s="14"/>
      <c r="M377" s="14"/>
      <c r="N377" s="14"/>
      <c r="O377" s="15"/>
      <c r="P377" s="13" t="s">
        <v>125</v>
      </c>
      <c r="Q377" s="13" t="s">
        <v>125</v>
      </c>
      <c r="R377" s="13" t="str">
        <f aca="false">TRIM(LEFT(A377,FIND("/",A377)-1))</f>
        <v>Awareness</v>
      </c>
      <c r="S377" s="13" t="str">
        <f aca="false">LEFT(C377,7)</f>
        <v>2026-08</v>
      </c>
    </row>
    <row r="378" customFormat="false" ht="15" hidden="false" customHeight="false" outlineLevel="0" collapsed="false">
      <c r="A378" s="13" t="s">
        <v>66</v>
      </c>
      <c r="B378" s="13" t="s">
        <v>71</v>
      </c>
      <c r="C378" s="13" t="s">
        <v>125</v>
      </c>
      <c r="D378" s="13" t="s">
        <v>69</v>
      </c>
      <c r="E378" s="13" t="s">
        <v>51</v>
      </c>
      <c r="F378" s="14" t="n">
        <v>4465</v>
      </c>
      <c r="G378" s="14" t="n">
        <v>4465</v>
      </c>
      <c r="H378" s="13" t="s">
        <v>52</v>
      </c>
      <c r="I378" s="14" t="n">
        <v>5879</v>
      </c>
      <c r="J378" s="14" t="n">
        <v>1</v>
      </c>
      <c r="K378" s="14"/>
      <c r="L378" s="14"/>
      <c r="M378" s="14"/>
      <c r="N378" s="14"/>
      <c r="O378" s="15"/>
      <c r="P378" s="13" t="s">
        <v>125</v>
      </c>
      <c r="Q378" s="13" t="s">
        <v>125</v>
      </c>
      <c r="R378" s="13" t="str">
        <f aca="false">TRIM(LEFT(A378,FIND("/",A378)-1))</f>
        <v>Awareness</v>
      </c>
      <c r="S378" s="13" t="str">
        <f aca="false">LEFT(C378,7)</f>
        <v>2026-08</v>
      </c>
    </row>
    <row r="379" customFormat="false" ht="15" hidden="false" customHeight="false" outlineLevel="0" collapsed="false">
      <c r="A379" s="13" t="s">
        <v>73</v>
      </c>
      <c r="B379" s="13" t="s">
        <v>74</v>
      </c>
      <c r="C379" s="13" t="s">
        <v>125</v>
      </c>
      <c r="D379" s="13" t="s">
        <v>69</v>
      </c>
      <c r="E379" s="13" t="s">
        <v>51</v>
      </c>
      <c r="F379" s="14" t="n">
        <v>7428</v>
      </c>
      <c r="G379" s="14" t="n">
        <v>8668</v>
      </c>
      <c r="H379" s="13" t="s">
        <v>52</v>
      </c>
      <c r="I379" s="14" t="n">
        <v>186562</v>
      </c>
      <c r="J379" s="14" t="n">
        <v>209</v>
      </c>
      <c r="K379" s="14"/>
      <c r="L379" s="14"/>
      <c r="M379" s="14" t="n">
        <v>13</v>
      </c>
      <c r="N379" s="14" t="n">
        <v>2169829</v>
      </c>
      <c r="O379" s="15"/>
      <c r="P379" s="13" t="s">
        <v>125</v>
      </c>
      <c r="Q379" s="13" t="s">
        <v>125</v>
      </c>
      <c r="R379" s="13" t="str">
        <f aca="false">TRIM(LEFT(A379,FIND("/",A379)-1))</f>
        <v>Sales</v>
      </c>
      <c r="S379" s="13" t="str">
        <f aca="false">LEFT(C379,7)</f>
        <v>2026-08</v>
      </c>
    </row>
    <row r="380" customFormat="false" ht="15" hidden="false" customHeight="false" outlineLevel="0" collapsed="false">
      <c r="A380" s="13" t="s">
        <v>75</v>
      </c>
      <c r="B380" s="13" t="s">
        <v>76</v>
      </c>
      <c r="C380" s="13" t="s">
        <v>125</v>
      </c>
      <c r="D380" s="13" t="s">
        <v>69</v>
      </c>
      <c r="E380" s="13" t="s">
        <v>51</v>
      </c>
      <c r="F380" s="14" t="n">
        <v>65994</v>
      </c>
      <c r="G380" s="14" t="n">
        <v>81974</v>
      </c>
      <c r="H380" s="13" t="s">
        <v>52</v>
      </c>
      <c r="I380" s="14" t="n">
        <v>258015</v>
      </c>
      <c r="J380" s="14" t="n">
        <v>1647</v>
      </c>
      <c r="K380" s="14"/>
      <c r="L380" s="14"/>
      <c r="M380" s="14" t="n">
        <v>2</v>
      </c>
      <c r="N380" s="14" t="n">
        <v>275830</v>
      </c>
      <c r="O380" s="15"/>
      <c r="P380" s="13" t="s">
        <v>125</v>
      </c>
      <c r="Q380" s="13" t="s">
        <v>125</v>
      </c>
      <c r="R380" s="13" t="str">
        <f aca="false">TRIM(LEFT(A380,FIND("/",A380)-1))</f>
        <v>Traffic</v>
      </c>
      <c r="S380" s="13" t="str">
        <f aca="false">LEFT(C380,7)</f>
        <v>2026-08</v>
      </c>
    </row>
    <row r="381" customFormat="false" ht="15" hidden="false" customHeight="false" outlineLevel="0" collapsed="false">
      <c r="A381" s="13" t="s">
        <v>75</v>
      </c>
      <c r="B381" s="13" t="s">
        <v>77</v>
      </c>
      <c r="C381" s="13" t="s">
        <v>125</v>
      </c>
      <c r="D381" s="13" t="s">
        <v>69</v>
      </c>
      <c r="E381" s="13" t="s">
        <v>51</v>
      </c>
      <c r="F381" s="14" t="n">
        <v>419</v>
      </c>
      <c r="G381" s="14" t="n">
        <v>426</v>
      </c>
      <c r="H381" s="13" t="s">
        <v>52</v>
      </c>
      <c r="I381" s="14" t="n">
        <v>1858</v>
      </c>
      <c r="J381" s="14" t="n">
        <v>9</v>
      </c>
      <c r="K381" s="14"/>
      <c r="L381" s="14"/>
      <c r="M381" s="14"/>
      <c r="N381" s="14"/>
      <c r="O381" s="15"/>
      <c r="P381" s="13" t="s">
        <v>125</v>
      </c>
      <c r="Q381" s="13" t="s">
        <v>125</v>
      </c>
      <c r="R381" s="13" t="str">
        <f aca="false">TRIM(LEFT(A381,FIND("/",A381)-1))</f>
        <v>Traffic</v>
      </c>
      <c r="S381" s="13" t="str">
        <f aca="false">LEFT(C381,7)</f>
        <v>2026-08</v>
      </c>
    </row>
    <row r="382" customFormat="false" ht="15" hidden="false" customHeight="false" outlineLevel="0" collapsed="false">
      <c r="A382" s="13" t="s">
        <v>75</v>
      </c>
      <c r="B382" s="13" t="s">
        <v>79</v>
      </c>
      <c r="C382" s="13" t="s">
        <v>125</v>
      </c>
      <c r="D382" s="13" t="s">
        <v>69</v>
      </c>
      <c r="E382" s="13" t="s">
        <v>51</v>
      </c>
      <c r="F382" s="14" t="n">
        <v>1254</v>
      </c>
      <c r="G382" s="14" t="n">
        <v>1339</v>
      </c>
      <c r="H382" s="13" t="s">
        <v>52</v>
      </c>
      <c r="I382" s="14" t="n">
        <v>5332</v>
      </c>
      <c r="J382" s="14" t="n">
        <v>29</v>
      </c>
      <c r="K382" s="14"/>
      <c r="L382" s="14"/>
      <c r="M382" s="14"/>
      <c r="N382" s="14"/>
      <c r="O382" s="15"/>
      <c r="P382" s="13" t="s">
        <v>125</v>
      </c>
      <c r="Q382" s="13" t="s">
        <v>125</v>
      </c>
      <c r="R382" s="13" t="str">
        <f aca="false">TRIM(LEFT(A382,FIND("/",A382)-1))</f>
        <v>Traffic</v>
      </c>
      <c r="S382" s="13" t="str">
        <f aca="false">LEFT(C382,7)</f>
        <v>2026-08</v>
      </c>
    </row>
    <row r="383" customFormat="false" ht="15" hidden="false" customHeight="false" outlineLevel="0" collapsed="false">
      <c r="A383" s="13" t="s">
        <v>66</v>
      </c>
      <c r="B383" s="13" t="s">
        <v>67</v>
      </c>
      <c r="C383" s="13" t="s">
        <v>126</v>
      </c>
      <c r="D383" s="13" t="s">
        <v>69</v>
      </c>
      <c r="E383" s="13" t="s">
        <v>51</v>
      </c>
      <c r="F383" s="14" t="n">
        <v>83415</v>
      </c>
      <c r="G383" s="14" t="n">
        <v>84571</v>
      </c>
      <c r="H383" s="13" t="s">
        <v>52</v>
      </c>
      <c r="I383" s="14" t="n">
        <v>116864</v>
      </c>
      <c r="J383" s="14" t="n">
        <v>8</v>
      </c>
      <c r="K383" s="14"/>
      <c r="L383" s="14"/>
      <c r="M383" s="14"/>
      <c r="N383" s="14"/>
      <c r="O383" s="15"/>
      <c r="P383" s="13" t="s">
        <v>126</v>
      </c>
      <c r="Q383" s="13" t="s">
        <v>126</v>
      </c>
      <c r="R383" s="13" t="str">
        <f aca="false">TRIM(LEFT(A383,FIND("/",A383)-1))</f>
        <v>Awareness</v>
      </c>
      <c r="S383" s="13" t="str">
        <f aca="false">LEFT(C383,7)</f>
        <v>2026-08</v>
      </c>
    </row>
    <row r="384" customFormat="false" ht="15" hidden="false" customHeight="false" outlineLevel="0" collapsed="false">
      <c r="A384" s="13" t="s">
        <v>66</v>
      </c>
      <c r="B384" s="13" t="s">
        <v>70</v>
      </c>
      <c r="C384" s="13" t="s">
        <v>126</v>
      </c>
      <c r="D384" s="13" t="s">
        <v>69</v>
      </c>
      <c r="E384" s="13" t="s">
        <v>51</v>
      </c>
      <c r="F384" s="14" t="n">
        <v>11912</v>
      </c>
      <c r="G384" s="14" t="n">
        <v>12120</v>
      </c>
      <c r="H384" s="13" t="s">
        <v>52</v>
      </c>
      <c r="I384" s="14" t="n">
        <v>16321</v>
      </c>
      <c r="J384" s="14" t="n">
        <v>3</v>
      </c>
      <c r="K384" s="14"/>
      <c r="L384" s="14"/>
      <c r="M384" s="14"/>
      <c r="N384" s="14"/>
      <c r="O384" s="15"/>
      <c r="P384" s="13" t="s">
        <v>126</v>
      </c>
      <c r="Q384" s="13" t="s">
        <v>126</v>
      </c>
      <c r="R384" s="13" t="str">
        <f aca="false">TRIM(LEFT(A384,FIND("/",A384)-1))</f>
        <v>Awareness</v>
      </c>
      <c r="S384" s="13" t="str">
        <f aca="false">LEFT(C384,7)</f>
        <v>2026-08</v>
      </c>
    </row>
    <row r="385" customFormat="false" ht="15" hidden="false" customHeight="false" outlineLevel="0" collapsed="false">
      <c r="A385" s="13" t="s">
        <v>66</v>
      </c>
      <c r="B385" s="13" t="s">
        <v>71</v>
      </c>
      <c r="C385" s="13" t="s">
        <v>126</v>
      </c>
      <c r="D385" s="13" t="s">
        <v>69</v>
      </c>
      <c r="E385" s="13" t="s">
        <v>51</v>
      </c>
      <c r="F385" s="14" t="n">
        <v>3306</v>
      </c>
      <c r="G385" s="14" t="n">
        <v>3323</v>
      </c>
      <c r="H385" s="13" t="s">
        <v>52</v>
      </c>
      <c r="I385" s="14" t="n">
        <v>4539</v>
      </c>
      <c r="J385" s="14" t="n">
        <v>2</v>
      </c>
      <c r="K385" s="14"/>
      <c r="L385" s="14"/>
      <c r="M385" s="14"/>
      <c r="N385" s="14"/>
      <c r="O385" s="15"/>
      <c r="P385" s="13" t="s">
        <v>126</v>
      </c>
      <c r="Q385" s="13" t="s">
        <v>126</v>
      </c>
      <c r="R385" s="13" t="str">
        <f aca="false">TRIM(LEFT(A385,FIND("/",A385)-1))</f>
        <v>Awareness</v>
      </c>
      <c r="S385" s="13" t="str">
        <f aca="false">LEFT(C385,7)</f>
        <v>2026-08</v>
      </c>
    </row>
    <row r="386" customFormat="false" ht="15" hidden="false" customHeight="false" outlineLevel="0" collapsed="false">
      <c r="A386" s="13" t="s">
        <v>73</v>
      </c>
      <c r="B386" s="13" t="s">
        <v>74</v>
      </c>
      <c r="C386" s="13" t="s">
        <v>126</v>
      </c>
      <c r="D386" s="13" t="s">
        <v>69</v>
      </c>
      <c r="E386" s="13" t="s">
        <v>51</v>
      </c>
      <c r="F386" s="14" t="n">
        <v>9550</v>
      </c>
      <c r="G386" s="14" t="n">
        <v>10772</v>
      </c>
      <c r="H386" s="13" t="s">
        <v>52</v>
      </c>
      <c r="I386" s="14" t="n">
        <v>166964</v>
      </c>
      <c r="J386" s="14" t="n">
        <v>204</v>
      </c>
      <c r="K386" s="14" t="n">
        <v>2</v>
      </c>
      <c r="L386" s="14" t="n">
        <v>371981</v>
      </c>
      <c r="M386" s="14" t="n">
        <v>21</v>
      </c>
      <c r="N386" s="14" t="n">
        <v>3896752</v>
      </c>
      <c r="O386" s="15" t="n">
        <v>2.22791141</v>
      </c>
      <c r="P386" s="13" t="s">
        <v>126</v>
      </c>
      <c r="Q386" s="13" t="s">
        <v>126</v>
      </c>
      <c r="R386" s="13" t="str">
        <f aca="false">TRIM(LEFT(A386,FIND("/",A386)-1))</f>
        <v>Sales</v>
      </c>
      <c r="S386" s="13" t="str">
        <f aca="false">LEFT(C386,7)</f>
        <v>2026-08</v>
      </c>
    </row>
    <row r="387" customFormat="false" ht="15" hidden="false" customHeight="false" outlineLevel="0" collapsed="false">
      <c r="A387" s="13" t="s">
        <v>75</v>
      </c>
      <c r="B387" s="13" t="s">
        <v>76</v>
      </c>
      <c r="C387" s="13" t="s">
        <v>126</v>
      </c>
      <c r="D387" s="13" t="s">
        <v>69</v>
      </c>
      <c r="E387" s="13" t="s">
        <v>51</v>
      </c>
      <c r="F387" s="14" t="n">
        <v>71962</v>
      </c>
      <c r="G387" s="14" t="n">
        <v>92146</v>
      </c>
      <c r="H387" s="13" t="s">
        <v>52</v>
      </c>
      <c r="I387" s="14" t="n">
        <v>288024</v>
      </c>
      <c r="J387" s="14" t="n">
        <v>1868</v>
      </c>
      <c r="K387" s="14"/>
      <c r="L387" s="14"/>
      <c r="M387" s="14" t="n">
        <v>4</v>
      </c>
      <c r="N387" s="14" t="n">
        <v>707797</v>
      </c>
      <c r="O387" s="15"/>
      <c r="P387" s="13" t="s">
        <v>126</v>
      </c>
      <c r="Q387" s="13" t="s">
        <v>126</v>
      </c>
      <c r="R387" s="13" t="str">
        <f aca="false">TRIM(LEFT(A387,FIND("/",A387)-1))</f>
        <v>Traffic</v>
      </c>
      <c r="S387" s="13" t="str">
        <f aca="false">LEFT(C387,7)</f>
        <v>2026-08</v>
      </c>
    </row>
    <row r="388" customFormat="false" ht="15" hidden="false" customHeight="false" outlineLevel="0" collapsed="false">
      <c r="A388" s="13" t="s">
        <v>75</v>
      </c>
      <c r="B388" s="13" t="s">
        <v>77</v>
      </c>
      <c r="C388" s="13" t="s">
        <v>126</v>
      </c>
      <c r="D388" s="13" t="s">
        <v>69</v>
      </c>
      <c r="E388" s="13" t="s">
        <v>51</v>
      </c>
      <c r="F388" s="14" t="n">
        <v>864</v>
      </c>
      <c r="G388" s="14" t="n">
        <v>894</v>
      </c>
      <c r="H388" s="13" t="s">
        <v>52</v>
      </c>
      <c r="I388" s="14" t="n">
        <v>1794</v>
      </c>
      <c r="J388" s="14" t="n">
        <v>18</v>
      </c>
      <c r="K388" s="14"/>
      <c r="L388" s="14"/>
      <c r="M388" s="14"/>
      <c r="N388" s="14"/>
      <c r="O388" s="15"/>
      <c r="P388" s="13" t="s">
        <v>126</v>
      </c>
      <c r="Q388" s="13" t="s">
        <v>126</v>
      </c>
      <c r="R388" s="13" t="str">
        <f aca="false">TRIM(LEFT(A388,FIND("/",A388)-1))</f>
        <v>Traffic</v>
      </c>
      <c r="S388" s="13" t="str">
        <f aca="false">LEFT(C388,7)</f>
        <v>2026-08</v>
      </c>
    </row>
    <row r="389" customFormat="false" ht="15" hidden="false" customHeight="false" outlineLevel="0" collapsed="false">
      <c r="A389" s="13" t="s">
        <v>75</v>
      </c>
      <c r="B389" s="13" t="s">
        <v>79</v>
      </c>
      <c r="C389" s="13" t="s">
        <v>126</v>
      </c>
      <c r="D389" s="13" t="s">
        <v>69</v>
      </c>
      <c r="E389" s="13" t="s">
        <v>51</v>
      </c>
      <c r="F389" s="14" t="n">
        <v>3214</v>
      </c>
      <c r="G389" s="14" t="n">
        <v>3267</v>
      </c>
      <c r="H389" s="13" t="s">
        <v>52</v>
      </c>
      <c r="I389" s="14" t="n">
        <v>4602</v>
      </c>
      <c r="J389" s="14" t="n">
        <v>22</v>
      </c>
      <c r="K389" s="14"/>
      <c r="L389" s="14"/>
      <c r="M389" s="14"/>
      <c r="N389" s="14"/>
      <c r="O389" s="15"/>
      <c r="P389" s="13" t="s">
        <v>126</v>
      </c>
      <c r="Q389" s="13" t="s">
        <v>126</v>
      </c>
      <c r="R389" s="13" t="str">
        <f aca="false">TRIM(LEFT(A389,FIND("/",A389)-1))</f>
        <v>Traffic</v>
      </c>
      <c r="S389" s="13" t="str">
        <f aca="false">LEFT(C389,7)</f>
        <v>2026-08</v>
      </c>
    </row>
    <row r="390" customFormat="false" ht="15" hidden="false" customHeight="false" outlineLevel="0" collapsed="false">
      <c r="A390" s="13" t="s">
        <v>66</v>
      </c>
      <c r="B390" s="13" t="s">
        <v>67</v>
      </c>
      <c r="C390" s="13" t="s">
        <v>127</v>
      </c>
      <c r="D390" s="13" t="s">
        <v>69</v>
      </c>
      <c r="E390" s="13" t="s">
        <v>51</v>
      </c>
      <c r="F390" s="14" t="n">
        <v>96395</v>
      </c>
      <c r="G390" s="14" t="n">
        <v>96395</v>
      </c>
      <c r="H390" s="13" t="s">
        <v>52</v>
      </c>
      <c r="I390" s="14" t="n">
        <v>132396</v>
      </c>
      <c r="J390" s="14" t="n">
        <v>8</v>
      </c>
      <c r="K390" s="14"/>
      <c r="L390" s="14"/>
      <c r="M390" s="14"/>
      <c r="N390" s="14"/>
      <c r="O390" s="15"/>
      <c r="P390" s="13" t="s">
        <v>127</v>
      </c>
      <c r="Q390" s="13" t="s">
        <v>127</v>
      </c>
      <c r="R390" s="13" t="str">
        <f aca="false">TRIM(LEFT(A390,FIND("/",A390)-1))</f>
        <v>Awareness</v>
      </c>
      <c r="S390" s="13" t="str">
        <f aca="false">LEFT(C390,7)</f>
        <v>2026-08</v>
      </c>
    </row>
    <row r="391" customFormat="false" ht="15" hidden="false" customHeight="false" outlineLevel="0" collapsed="false">
      <c r="A391" s="13" t="s">
        <v>66</v>
      </c>
      <c r="B391" s="13" t="s">
        <v>70</v>
      </c>
      <c r="C391" s="13" t="s">
        <v>127</v>
      </c>
      <c r="D391" s="13" t="s">
        <v>69</v>
      </c>
      <c r="E391" s="13" t="s">
        <v>51</v>
      </c>
      <c r="F391" s="14" t="n">
        <v>9519</v>
      </c>
      <c r="G391" s="14" t="n">
        <v>9676</v>
      </c>
      <c r="H391" s="13" t="s">
        <v>52</v>
      </c>
      <c r="I391" s="14" t="n">
        <v>13003</v>
      </c>
      <c r="J391" s="14" t="n">
        <v>1</v>
      </c>
      <c r="K391" s="14"/>
      <c r="L391" s="14"/>
      <c r="M391" s="14"/>
      <c r="N391" s="14"/>
      <c r="O391" s="15"/>
      <c r="P391" s="13" t="s">
        <v>127</v>
      </c>
      <c r="Q391" s="13" t="s">
        <v>127</v>
      </c>
      <c r="R391" s="13" t="str">
        <f aca="false">TRIM(LEFT(A391,FIND("/",A391)-1))</f>
        <v>Awareness</v>
      </c>
      <c r="S391" s="13" t="str">
        <f aca="false">LEFT(C391,7)</f>
        <v>2026-08</v>
      </c>
    </row>
    <row r="392" customFormat="false" ht="15" hidden="false" customHeight="false" outlineLevel="0" collapsed="false">
      <c r="A392" s="13" t="s">
        <v>66</v>
      </c>
      <c r="B392" s="13" t="s">
        <v>71</v>
      </c>
      <c r="C392" s="13" t="s">
        <v>127</v>
      </c>
      <c r="D392" s="13" t="s">
        <v>69</v>
      </c>
      <c r="E392" s="13" t="s">
        <v>51</v>
      </c>
      <c r="F392" s="14" t="n">
        <v>4772</v>
      </c>
      <c r="G392" s="14" t="n">
        <v>4772</v>
      </c>
      <c r="H392" s="13" t="s">
        <v>52</v>
      </c>
      <c r="I392" s="14" t="n">
        <v>6485</v>
      </c>
      <c r="J392" s="14" t="n">
        <v>1</v>
      </c>
      <c r="K392" s="14"/>
      <c r="L392" s="14"/>
      <c r="M392" s="14" t="n">
        <v>1</v>
      </c>
      <c r="N392" s="14" t="n">
        <v>159310</v>
      </c>
      <c r="O392" s="15"/>
      <c r="P392" s="13" t="s">
        <v>127</v>
      </c>
      <c r="Q392" s="13" t="s">
        <v>127</v>
      </c>
      <c r="R392" s="13" t="str">
        <f aca="false">TRIM(LEFT(A392,FIND("/",A392)-1))</f>
        <v>Awareness</v>
      </c>
      <c r="S392" s="13" t="str">
        <f aca="false">LEFT(C392,7)</f>
        <v>2026-08</v>
      </c>
    </row>
    <row r="393" customFormat="false" ht="15" hidden="false" customHeight="false" outlineLevel="0" collapsed="false">
      <c r="A393" s="13" t="s">
        <v>73</v>
      </c>
      <c r="B393" s="13" t="s">
        <v>74</v>
      </c>
      <c r="C393" s="13" t="s">
        <v>127</v>
      </c>
      <c r="D393" s="13" t="s">
        <v>69</v>
      </c>
      <c r="E393" s="13" t="s">
        <v>51</v>
      </c>
      <c r="F393" s="14" t="n">
        <v>12273</v>
      </c>
      <c r="G393" s="14" t="n">
        <v>13843</v>
      </c>
      <c r="H393" s="13" t="s">
        <v>52</v>
      </c>
      <c r="I393" s="14" t="n">
        <v>215188</v>
      </c>
      <c r="J393" s="14" t="n">
        <v>256</v>
      </c>
      <c r="K393" s="14" t="n">
        <v>1</v>
      </c>
      <c r="L393" s="14" t="n">
        <v>174868</v>
      </c>
      <c r="M393" s="14" t="n">
        <v>27</v>
      </c>
      <c r="N393" s="14" t="n">
        <v>4530448</v>
      </c>
      <c r="O393" s="15" t="n">
        <v>0.81262896</v>
      </c>
      <c r="P393" s="13" t="s">
        <v>127</v>
      </c>
      <c r="Q393" s="13" t="s">
        <v>127</v>
      </c>
      <c r="R393" s="13" t="str">
        <f aca="false">TRIM(LEFT(A393,FIND("/",A393)-1))</f>
        <v>Sales</v>
      </c>
      <c r="S393" s="13" t="str">
        <f aca="false">LEFT(C393,7)</f>
        <v>2026-08</v>
      </c>
    </row>
    <row r="394" customFormat="false" ht="15" hidden="false" customHeight="false" outlineLevel="0" collapsed="false">
      <c r="A394" s="13" t="s">
        <v>75</v>
      </c>
      <c r="B394" s="13" t="s">
        <v>76</v>
      </c>
      <c r="C394" s="13" t="s">
        <v>127</v>
      </c>
      <c r="D394" s="13" t="s">
        <v>69</v>
      </c>
      <c r="E394" s="13" t="s">
        <v>51</v>
      </c>
      <c r="F394" s="14" t="n">
        <v>85918</v>
      </c>
      <c r="G394" s="14" t="n">
        <v>106540</v>
      </c>
      <c r="H394" s="13" t="s">
        <v>52</v>
      </c>
      <c r="I394" s="14" t="n">
        <v>317684</v>
      </c>
      <c r="J394" s="14" t="n">
        <v>2219</v>
      </c>
      <c r="K394" s="14"/>
      <c r="L394" s="14"/>
      <c r="M394" s="14" t="n">
        <v>2</v>
      </c>
      <c r="N394" s="14" t="n">
        <v>339423</v>
      </c>
      <c r="O394" s="15"/>
      <c r="P394" s="13" t="s">
        <v>127</v>
      </c>
      <c r="Q394" s="13" t="s">
        <v>127</v>
      </c>
      <c r="R394" s="13" t="str">
        <f aca="false">TRIM(LEFT(A394,FIND("/",A394)-1))</f>
        <v>Traffic</v>
      </c>
      <c r="S394" s="13" t="str">
        <f aca="false">LEFT(C394,7)</f>
        <v>2026-08</v>
      </c>
    </row>
    <row r="395" customFormat="false" ht="15" hidden="false" customHeight="false" outlineLevel="0" collapsed="false">
      <c r="A395" s="13" t="s">
        <v>75</v>
      </c>
      <c r="B395" s="13" t="s">
        <v>77</v>
      </c>
      <c r="C395" s="13" t="s">
        <v>127</v>
      </c>
      <c r="D395" s="13" t="s">
        <v>69</v>
      </c>
      <c r="E395" s="13" t="s">
        <v>51</v>
      </c>
      <c r="F395" s="14" t="n">
        <v>995</v>
      </c>
      <c r="G395" s="14" t="n">
        <v>1030</v>
      </c>
      <c r="H395" s="13" t="s">
        <v>52</v>
      </c>
      <c r="I395" s="14" t="n">
        <v>3310</v>
      </c>
      <c r="J395" s="14" t="n">
        <v>18</v>
      </c>
      <c r="K395" s="14"/>
      <c r="L395" s="14"/>
      <c r="M395" s="14"/>
      <c r="N395" s="14"/>
      <c r="O395" s="15"/>
      <c r="P395" s="13" t="s">
        <v>127</v>
      </c>
      <c r="Q395" s="13" t="s">
        <v>127</v>
      </c>
      <c r="R395" s="13" t="str">
        <f aca="false">TRIM(LEFT(A395,FIND("/",A395)-1))</f>
        <v>Traffic</v>
      </c>
      <c r="S395" s="13" t="str">
        <f aca="false">LEFT(C395,7)</f>
        <v>2026-08</v>
      </c>
    </row>
    <row r="396" customFormat="false" ht="15" hidden="false" customHeight="false" outlineLevel="0" collapsed="false">
      <c r="A396" s="13" t="s">
        <v>75</v>
      </c>
      <c r="B396" s="13" t="s">
        <v>79</v>
      </c>
      <c r="C396" s="13" t="s">
        <v>127</v>
      </c>
      <c r="D396" s="13" t="s">
        <v>69</v>
      </c>
      <c r="E396" s="13" t="s">
        <v>51</v>
      </c>
      <c r="F396" s="14" t="n">
        <v>1316</v>
      </c>
      <c r="G396" s="14" t="n">
        <v>1339</v>
      </c>
      <c r="H396" s="13" t="s">
        <v>52</v>
      </c>
      <c r="I396" s="14" t="n">
        <v>4157</v>
      </c>
      <c r="J396" s="14" t="n">
        <v>40</v>
      </c>
      <c r="K396" s="14"/>
      <c r="L396" s="14"/>
      <c r="M396" s="14"/>
      <c r="N396" s="14"/>
      <c r="O396" s="15"/>
      <c r="P396" s="13" t="s">
        <v>127</v>
      </c>
      <c r="Q396" s="13" t="s">
        <v>127</v>
      </c>
      <c r="R396" s="13" t="str">
        <f aca="false">TRIM(LEFT(A396,FIND("/",A396)-1))</f>
        <v>Traffic</v>
      </c>
      <c r="S396" s="13" t="str">
        <f aca="false">LEFT(C396,7)</f>
        <v>2026-08</v>
      </c>
    </row>
    <row r="397" customFormat="false" ht="15" hidden="false" customHeight="false" outlineLevel="0" collapsed="false">
      <c r="A397" s="13" t="s">
        <v>66</v>
      </c>
      <c r="B397" s="13" t="s">
        <v>67</v>
      </c>
      <c r="C397" s="13" t="s">
        <v>128</v>
      </c>
      <c r="D397" s="13" t="s">
        <v>69</v>
      </c>
      <c r="E397" s="13" t="s">
        <v>51</v>
      </c>
      <c r="F397" s="14" t="n">
        <v>107836</v>
      </c>
      <c r="G397" s="14" t="n">
        <v>109590</v>
      </c>
      <c r="H397" s="13" t="s">
        <v>52</v>
      </c>
      <c r="I397" s="14" t="n">
        <v>146914</v>
      </c>
      <c r="J397" s="14" t="n">
        <v>14</v>
      </c>
      <c r="K397" s="14"/>
      <c r="L397" s="14"/>
      <c r="M397" s="14"/>
      <c r="N397" s="14"/>
      <c r="O397" s="15"/>
      <c r="P397" s="13" t="s">
        <v>128</v>
      </c>
      <c r="Q397" s="13" t="s">
        <v>128</v>
      </c>
      <c r="R397" s="13" t="str">
        <f aca="false">TRIM(LEFT(A397,FIND("/",A397)-1))</f>
        <v>Awareness</v>
      </c>
      <c r="S397" s="13" t="str">
        <f aca="false">LEFT(C397,7)</f>
        <v>2026-08</v>
      </c>
    </row>
    <row r="398" customFormat="false" ht="15" hidden="false" customHeight="false" outlineLevel="0" collapsed="false">
      <c r="A398" s="13" t="s">
        <v>66</v>
      </c>
      <c r="B398" s="13" t="s">
        <v>70</v>
      </c>
      <c r="C398" s="13" t="s">
        <v>128</v>
      </c>
      <c r="D398" s="13" t="s">
        <v>69</v>
      </c>
      <c r="E398" s="13" t="s">
        <v>51</v>
      </c>
      <c r="F398" s="14" t="n">
        <v>12179</v>
      </c>
      <c r="G398" s="14" t="n">
        <v>12179</v>
      </c>
      <c r="H398" s="13" t="s">
        <v>52</v>
      </c>
      <c r="I398" s="14" t="n">
        <v>16243</v>
      </c>
      <c r="J398" s="14" t="n">
        <v>1</v>
      </c>
      <c r="K398" s="14"/>
      <c r="L398" s="14"/>
      <c r="M398" s="14"/>
      <c r="N398" s="14"/>
      <c r="O398" s="15"/>
      <c r="P398" s="13" t="s">
        <v>128</v>
      </c>
      <c r="Q398" s="13" t="s">
        <v>128</v>
      </c>
      <c r="R398" s="13" t="str">
        <f aca="false">TRIM(LEFT(A398,FIND("/",A398)-1))</f>
        <v>Awareness</v>
      </c>
      <c r="S398" s="13" t="str">
        <f aca="false">LEFT(C398,7)</f>
        <v>2026-08</v>
      </c>
    </row>
    <row r="399" customFormat="false" ht="15" hidden="false" customHeight="false" outlineLevel="0" collapsed="false">
      <c r="A399" s="13" t="s">
        <v>66</v>
      </c>
      <c r="B399" s="13" t="s">
        <v>71</v>
      </c>
      <c r="C399" s="13" t="s">
        <v>128</v>
      </c>
      <c r="D399" s="13" t="s">
        <v>69</v>
      </c>
      <c r="E399" s="13" t="s">
        <v>51</v>
      </c>
      <c r="F399" s="14" t="n">
        <v>3122</v>
      </c>
      <c r="G399" s="14" t="n">
        <v>3124</v>
      </c>
      <c r="H399" s="13" t="s">
        <v>52</v>
      </c>
      <c r="I399" s="14" t="n">
        <v>4155</v>
      </c>
      <c r="J399" s="14"/>
      <c r="K399" s="14"/>
      <c r="L399" s="14"/>
      <c r="M399" s="14"/>
      <c r="N399" s="14"/>
      <c r="O399" s="15"/>
      <c r="P399" s="13" t="s">
        <v>128</v>
      </c>
      <c r="Q399" s="13" t="s">
        <v>128</v>
      </c>
      <c r="R399" s="13" t="str">
        <f aca="false">TRIM(LEFT(A399,FIND("/",A399)-1))</f>
        <v>Awareness</v>
      </c>
      <c r="S399" s="13" t="str">
        <f aca="false">LEFT(C399,7)</f>
        <v>2026-08</v>
      </c>
    </row>
    <row r="400" customFormat="false" ht="15" hidden="false" customHeight="false" outlineLevel="0" collapsed="false">
      <c r="A400" s="13" t="s">
        <v>73</v>
      </c>
      <c r="B400" s="13" t="s">
        <v>74</v>
      </c>
      <c r="C400" s="13" t="s">
        <v>128</v>
      </c>
      <c r="D400" s="13" t="s">
        <v>69</v>
      </c>
      <c r="E400" s="13" t="s">
        <v>51</v>
      </c>
      <c r="F400" s="14" t="n">
        <v>10654</v>
      </c>
      <c r="G400" s="14" t="n">
        <v>12272</v>
      </c>
      <c r="H400" s="13" t="s">
        <v>52</v>
      </c>
      <c r="I400" s="14" t="n">
        <v>200117</v>
      </c>
      <c r="J400" s="14" t="n">
        <v>249</v>
      </c>
      <c r="K400" s="14" t="n">
        <v>1</v>
      </c>
      <c r="L400" s="14" t="n">
        <v>172868</v>
      </c>
      <c r="M400" s="14" t="n">
        <v>24</v>
      </c>
      <c r="N400" s="14" t="n">
        <v>4029919</v>
      </c>
      <c r="O400" s="15" t="n">
        <v>0.86383466</v>
      </c>
      <c r="P400" s="13" t="s">
        <v>128</v>
      </c>
      <c r="Q400" s="13" t="s">
        <v>128</v>
      </c>
      <c r="R400" s="13" t="str">
        <f aca="false">TRIM(LEFT(A400,FIND("/",A400)-1))</f>
        <v>Sales</v>
      </c>
      <c r="S400" s="13" t="str">
        <f aca="false">LEFT(C400,7)</f>
        <v>2026-08</v>
      </c>
    </row>
    <row r="401" customFormat="false" ht="15" hidden="false" customHeight="false" outlineLevel="0" collapsed="false">
      <c r="A401" s="13" t="s">
        <v>75</v>
      </c>
      <c r="B401" s="13" t="s">
        <v>76</v>
      </c>
      <c r="C401" s="13" t="s">
        <v>128</v>
      </c>
      <c r="D401" s="13" t="s">
        <v>69</v>
      </c>
      <c r="E401" s="13" t="s">
        <v>51</v>
      </c>
      <c r="F401" s="14" t="n">
        <v>75585</v>
      </c>
      <c r="G401" s="14" t="n">
        <v>102211</v>
      </c>
      <c r="H401" s="13" t="s">
        <v>52</v>
      </c>
      <c r="I401" s="14" t="n">
        <v>296268</v>
      </c>
      <c r="J401" s="14" t="n">
        <v>2111</v>
      </c>
      <c r="K401" s="14"/>
      <c r="L401" s="14"/>
      <c r="M401" s="14" t="n">
        <v>3</v>
      </c>
      <c r="N401" s="14" t="n">
        <v>511450</v>
      </c>
      <c r="O401" s="15"/>
      <c r="P401" s="13" t="s">
        <v>128</v>
      </c>
      <c r="Q401" s="13" t="s">
        <v>128</v>
      </c>
      <c r="R401" s="13" t="str">
        <f aca="false">TRIM(LEFT(A401,FIND("/",A401)-1))</f>
        <v>Traffic</v>
      </c>
      <c r="S401" s="13" t="str">
        <f aca="false">LEFT(C401,7)</f>
        <v>2026-08</v>
      </c>
    </row>
    <row r="402" customFormat="false" ht="15" hidden="false" customHeight="false" outlineLevel="0" collapsed="false">
      <c r="A402" s="13" t="s">
        <v>75</v>
      </c>
      <c r="B402" s="13" t="s">
        <v>77</v>
      </c>
      <c r="C402" s="13" t="s">
        <v>128</v>
      </c>
      <c r="D402" s="13" t="s">
        <v>69</v>
      </c>
      <c r="E402" s="13" t="s">
        <v>51</v>
      </c>
      <c r="F402" s="14" t="n">
        <v>945</v>
      </c>
      <c r="G402" s="14" t="n">
        <v>993</v>
      </c>
      <c r="H402" s="13" t="s">
        <v>52</v>
      </c>
      <c r="I402" s="14" t="n">
        <v>4046</v>
      </c>
      <c r="J402" s="14" t="n">
        <v>38</v>
      </c>
      <c r="K402" s="14"/>
      <c r="L402" s="14"/>
      <c r="M402" s="14"/>
      <c r="N402" s="14"/>
      <c r="O402" s="15"/>
      <c r="P402" s="13" t="s">
        <v>128</v>
      </c>
      <c r="Q402" s="13" t="s">
        <v>128</v>
      </c>
      <c r="R402" s="13" t="str">
        <f aca="false">TRIM(LEFT(A402,FIND("/",A402)-1))</f>
        <v>Traffic</v>
      </c>
      <c r="S402" s="13" t="str">
        <f aca="false">LEFT(C402,7)</f>
        <v>2026-08</v>
      </c>
    </row>
    <row r="403" customFormat="false" ht="15" hidden="false" customHeight="false" outlineLevel="0" collapsed="false">
      <c r="A403" s="13" t="s">
        <v>75</v>
      </c>
      <c r="B403" s="13" t="s">
        <v>79</v>
      </c>
      <c r="C403" s="13" t="s">
        <v>128</v>
      </c>
      <c r="D403" s="13" t="s">
        <v>69</v>
      </c>
      <c r="E403" s="13" t="s">
        <v>51</v>
      </c>
      <c r="F403" s="14" t="n">
        <v>2503</v>
      </c>
      <c r="G403" s="14" t="n">
        <v>2503</v>
      </c>
      <c r="H403" s="13" t="s">
        <v>52</v>
      </c>
      <c r="I403" s="14" t="n">
        <v>3597</v>
      </c>
      <c r="J403" s="14" t="n">
        <v>30</v>
      </c>
      <c r="K403" s="14"/>
      <c r="L403" s="14"/>
      <c r="M403" s="14"/>
      <c r="N403" s="14"/>
      <c r="O403" s="15"/>
      <c r="P403" s="13" t="s">
        <v>128</v>
      </c>
      <c r="Q403" s="13" t="s">
        <v>128</v>
      </c>
      <c r="R403" s="13" t="str">
        <f aca="false">TRIM(LEFT(A403,FIND("/",A403)-1))</f>
        <v>Traffic</v>
      </c>
      <c r="S403" s="13" t="str">
        <f aca="false">LEFT(C403,7)</f>
        <v>2026-08</v>
      </c>
    </row>
    <row r="404" customFormat="false" ht="15" hidden="false" customHeight="false" outlineLevel="0" collapsed="false">
      <c r="A404" s="13" t="s">
        <v>66</v>
      </c>
      <c r="B404" s="13" t="s">
        <v>67</v>
      </c>
      <c r="C404" s="13" t="s">
        <v>129</v>
      </c>
      <c r="D404" s="13" t="s">
        <v>69</v>
      </c>
      <c r="E404" s="13" t="s">
        <v>51</v>
      </c>
      <c r="F404" s="14" t="n">
        <v>92730</v>
      </c>
      <c r="G404" s="14" t="n">
        <v>92730</v>
      </c>
      <c r="H404" s="13" t="s">
        <v>52</v>
      </c>
      <c r="I404" s="14" t="n">
        <v>111334</v>
      </c>
      <c r="J404" s="14" t="n">
        <v>11</v>
      </c>
      <c r="K404" s="14"/>
      <c r="L404" s="14"/>
      <c r="M404" s="14"/>
      <c r="N404" s="14"/>
      <c r="O404" s="15"/>
      <c r="P404" s="13" t="s">
        <v>129</v>
      </c>
      <c r="Q404" s="13" t="s">
        <v>129</v>
      </c>
      <c r="R404" s="13" t="str">
        <f aca="false">TRIM(LEFT(A404,FIND("/",A404)-1))</f>
        <v>Awareness</v>
      </c>
      <c r="S404" s="13" t="str">
        <f aca="false">LEFT(C404,7)</f>
        <v>2026-09</v>
      </c>
    </row>
    <row r="405" customFormat="false" ht="15" hidden="false" customHeight="false" outlineLevel="0" collapsed="false">
      <c r="A405" s="13" t="s">
        <v>66</v>
      </c>
      <c r="B405" s="13" t="s">
        <v>70</v>
      </c>
      <c r="C405" s="13" t="s">
        <v>129</v>
      </c>
      <c r="D405" s="13" t="s">
        <v>69</v>
      </c>
      <c r="E405" s="13" t="s">
        <v>51</v>
      </c>
      <c r="F405" s="14" t="n">
        <v>22717</v>
      </c>
      <c r="G405" s="14" t="n">
        <v>22813</v>
      </c>
      <c r="H405" s="13" t="s">
        <v>52</v>
      </c>
      <c r="I405" s="14" t="n">
        <v>27062</v>
      </c>
      <c r="J405" s="14" t="n">
        <v>8</v>
      </c>
      <c r="K405" s="14"/>
      <c r="L405" s="14"/>
      <c r="M405" s="14"/>
      <c r="N405" s="14"/>
      <c r="O405" s="15"/>
      <c r="P405" s="13" t="s">
        <v>129</v>
      </c>
      <c r="Q405" s="13" t="s">
        <v>129</v>
      </c>
      <c r="R405" s="13" t="str">
        <f aca="false">TRIM(LEFT(A405,FIND("/",A405)-1))</f>
        <v>Awareness</v>
      </c>
      <c r="S405" s="13" t="str">
        <f aca="false">LEFT(C405,7)</f>
        <v>2026-09</v>
      </c>
    </row>
    <row r="406" customFormat="false" ht="15" hidden="false" customHeight="false" outlineLevel="0" collapsed="false">
      <c r="A406" s="13" t="s">
        <v>66</v>
      </c>
      <c r="B406" s="13" t="s">
        <v>71</v>
      </c>
      <c r="C406" s="13" t="s">
        <v>129</v>
      </c>
      <c r="D406" s="13" t="s">
        <v>69</v>
      </c>
      <c r="E406" s="13" t="s">
        <v>51</v>
      </c>
      <c r="F406" s="14" t="n">
        <v>22696</v>
      </c>
      <c r="G406" s="14" t="n">
        <v>22931</v>
      </c>
      <c r="H406" s="13" t="s">
        <v>52</v>
      </c>
      <c r="I406" s="14" t="n">
        <v>27517</v>
      </c>
      <c r="J406" s="14" t="n">
        <v>7</v>
      </c>
      <c r="K406" s="14"/>
      <c r="L406" s="14"/>
      <c r="M406" s="14"/>
      <c r="N406" s="14"/>
      <c r="O406" s="15"/>
      <c r="P406" s="13" t="s">
        <v>129</v>
      </c>
      <c r="Q406" s="13" t="s">
        <v>129</v>
      </c>
      <c r="R406" s="13" t="str">
        <f aca="false">TRIM(LEFT(A406,FIND("/",A406)-1))</f>
        <v>Awareness</v>
      </c>
      <c r="S406" s="13" t="str">
        <f aca="false">LEFT(C406,7)</f>
        <v>2026-09</v>
      </c>
    </row>
    <row r="407" customFormat="false" ht="15" hidden="false" customHeight="false" outlineLevel="0" collapsed="false">
      <c r="A407" s="13" t="s">
        <v>73</v>
      </c>
      <c r="B407" s="13" t="s">
        <v>74</v>
      </c>
      <c r="C407" s="13" t="s">
        <v>129</v>
      </c>
      <c r="D407" s="13" t="s">
        <v>69</v>
      </c>
      <c r="E407" s="13" t="s">
        <v>51</v>
      </c>
      <c r="F407" s="14" t="n">
        <v>6975</v>
      </c>
      <c r="G407" s="14" t="n">
        <v>8236</v>
      </c>
      <c r="H407" s="13" t="s">
        <v>52</v>
      </c>
      <c r="I407" s="14" t="n">
        <v>178806</v>
      </c>
      <c r="J407" s="14" t="n">
        <v>162</v>
      </c>
      <c r="K407" s="14" t="n">
        <v>1</v>
      </c>
      <c r="L407" s="14" t="n">
        <v>172868</v>
      </c>
      <c r="M407" s="14" t="n">
        <v>21</v>
      </c>
      <c r="N407" s="14" t="n">
        <v>3587151</v>
      </c>
      <c r="O407" s="15" t="n">
        <v>0.96679082</v>
      </c>
      <c r="P407" s="13" t="s">
        <v>129</v>
      </c>
      <c r="Q407" s="13" t="s">
        <v>129</v>
      </c>
      <c r="R407" s="13" t="str">
        <f aca="false">TRIM(LEFT(A407,FIND("/",A407)-1))</f>
        <v>Sales</v>
      </c>
      <c r="S407" s="13" t="str">
        <f aca="false">LEFT(C407,7)</f>
        <v>2026-09</v>
      </c>
    </row>
    <row r="408" customFormat="false" ht="15" hidden="false" customHeight="false" outlineLevel="0" collapsed="false">
      <c r="A408" s="13" t="s">
        <v>75</v>
      </c>
      <c r="B408" s="13" t="s">
        <v>76</v>
      </c>
      <c r="C408" s="13" t="s">
        <v>129</v>
      </c>
      <c r="D408" s="13" t="s">
        <v>69</v>
      </c>
      <c r="E408" s="13" t="s">
        <v>51</v>
      </c>
      <c r="F408" s="14" t="n">
        <v>76086</v>
      </c>
      <c r="G408" s="14" t="n">
        <v>95944</v>
      </c>
      <c r="H408" s="13" t="s">
        <v>52</v>
      </c>
      <c r="I408" s="14" t="n">
        <v>249620</v>
      </c>
      <c r="J408" s="14" t="n">
        <v>1848</v>
      </c>
      <c r="K408" s="14"/>
      <c r="L408" s="14"/>
      <c r="M408" s="14" t="n">
        <v>9</v>
      </c>
      <c r="N408" s="14" t="n">
        <v>1416035</v>
      </c>
      <c r="O408" s="15"/>
      <c r="P408" s="13" t="s">
        <v>129</v>
      </c>
      <c r="Q408" s="13" t="s">
        <v>129</v>
      </c>
      <c r="R408" s="13" t="str">
        <f aca="false">TRIM(LEFT(A408,FIND("/",A408)-1))</f>
        <v>Traffic</v>
      </c>
      <c r="S408" s="13" t="str">
        <f aca="false">LEFT(C408,7)</f>
        <v>2026-09</v>
      </c>
    </row>
    <row r="409" customFormat="false" ht="15" hidden="false" customHeight="false" outlineLevel="0" collapsed="false">
      <c r="A409" s="13" t="s">
        <v>75</v>
      </c>
      <c r="B409" s="13" t="s">
        <v>77</v>
      </c>
      <c r="C409" s="13" t="s">
        <v>129</v>
      </c>
      <c r="D409" s="13" t="s">
        <v>69</v>
      </c>
      <c r="E409" s="13" t="s">
        <v>51</v>
      </c>
      <c r="F409" s="14" t="n">
        <v>3579</v>
      </c>
      <c r="G409" s="14" t="n">
        <v>4017</v>
      </c>
      <c r="H409" s="13" t="s">
        <v>52</v>
      </c>
      <c r="I409" s="14" t="n">
        <v>16884</v>
      </c>
      <c r="J409" s="14" t="n">
        <v>96</v>
      </c>
      <c r="K409" s="14"/>
      <c r="L409" s="14"/>
      <c r="M409" s="14" t="n">
        <v>1</v>
      </c>
      <c r="N409" s="14" t="n">
        <v>177399</v>
      </c>
      <c r="O409" s="15"/>
      <c r="P409" s="13" t="s">
        <v>129</v>
      </c>
      <c r="Q409" s="13" t="s">
        <v>129</v>
      </c>
      <c r="R409" s="13" t="str">
        <f aca="false">TRIM(LEFT(A409,FIND("/",A409)-1))</f>
        <v>Traffic</v>
      </c>
      <c r="S409" s="13" t="str">
        <f aca="false">LEFT(C409,7)</f>
        <v>2026-09</v>
      </c>
    </row>
    <row r="410" customFormat="false" ht="15" hidden="false" customHeight="false" outlineLevel="0" collapsed="false">
      <c r="A410" s="13" t="s">
        <v>75</v>
      </c>
      <c r="B410" s="13" t="s">
        <v>79</v>
      </c>
      <c r="C410" s="13" t="s">
        <v>129</v>
      </c>
      <c r="D410" s="13" t="s">
        <v>69</v>
      </c>
      <c r="E410" s="13" t="s">
        <v>51</v>
      </c>
      <c r="F410" s="14" t="n">
        <v>3785</v>
      </c>
      <c r="G410" s="14" t="n">
        <v>4271</v>
      </c>
      <c r="H410" s="13" t="s">
        <v>52</v>
      </c>
      <c r="I410" s="14" t="n">
        <v>18501</v>
      </c>
      <c r="J410" s="14" t="n">
        <v>117</v>
      </c>
      <c r="K410" s="14"/>
      <c r="L410" s="14"/>
      <c r="M410" s="14"/>
      <c r="N410" s="14"/>
      <c r="O410" s="15"/>
      <c r="P410" s="13" t="s">
        <v>129</v>
      </c>
      <c r="Q410" s="13" t="s">
        <v>129</v>
      </c>
      <c r="R410" s="13" t="str">
        <f aca="false">TRIM(LEFT(A410,FIND("/",A410)-1))</f>
        <v>Traffic</v>
      </c>
      <c r="S410" s="13" t="str">
        <f aca="false">LEFT(C410,7)</f>
        <v>2026-09</v>
      </c>
    </row>
    <row r="411" customFormat="false" ht="15" hidden="false" customHeight="false" outlineLevel="0" collapsed="false">
      <c r="A411" s="13" t="s">
        <v>66</v>
      </c>
      <c r="B411" s="13" t="s">
        <v>67</v>
      </c>
      <c r="C411" s="13" t="s">
        <v>130</v>
      </c>
      <c r="D411" s="13" t="s">
        <v>69</v>
      </c>
      <c r="E411" s="13" t="s">
        <v>51</v>
      </c>
      <c r="F411" s="14" t="n">
        <v>60701</v>
      </c>
      <c r="G411" s="14" t="n">
        <v>60852</v>
      </c>
      <c r="H411" s="13" t="s">
        <v>52</v>
      </c>
      <c r="I411" s="14" t="n">
        <v>68989</v>
      </c>
      <c r="J411" s="14" t="n">
        <v>7</v>
      </c>
      <c r="K411" s="14"/>
      <c r="L411" s="14"/>
      <c r="M411" s="14"/>
      <c r="N411" s="14"/>
      <c r="O411" s="15"/>
      <c r="P411" s="13" t="s">
        <v>130</v>
      </c>
      <c r="Q411" s="13" t="s">
        <v>130</v>
      </c>
      <c r="R411" s="13" t="str">
        <f aca="false">TRIM(LEFT(A411,FIND("/",A411)-1))</f>
        <v>Awareness</v>
      </c>
      <c r="S411" s="13" t="str">
        <f aca="false">LEFT(C411,7)</f>
        <v>2026-09</v>
      </c>
    </row>
    <row r="412" customFormat="false" ht="15" hidden="false" customHeight="false" outlineLevel="0" collapsed="false">
      <c r="A412" s="13" t="s">
        <v>66</v>
      </c>
      <c r="B412" s="13" t="s">
        <v>70</v>
      </c>
      <c r="C412" s="13" t="s">
        <v>130</v>
      </c>
      <c r="D412" s="13" t="s">
        <v>69</v>
      </c>
      <c r="E412" s="13" t="s">
        <v>51</v>
      </c>
      <c r="F412" s="14" t="n">
        <v>41534</v>
      </c>
      <c r="G412" s="14" t="n">
        <v>42253</v>
      </c>
      <c r="H412" s="13" t="s">
        <v>52</v>
      </c>
      <c r="I412" s="14" t="n">
        <v>46959</v>
      </c>
      <c r="J412" s="14" t="n">
        <v>11</v>
      </c>
      <c r="K412" s="14"/>
      <c r="L412" s="14"/>
      <c r="M412" s="14"/>
      <c r="N412" s="14"/>
      <c r="O412" s="15"/>
      <c r="P412" s="13" t="s">
        <v>130</v>
      </c>
      <c r="Q412" s="13" t="s">
        <v>130</v>
      </c>
      <c r="R412" s="13" t="str">
        <f aca="false">TRIM(LEFT(A412,FIND("/",A412)-1))</f>
        <v>Awareness</v>
      </c>
      <c r="S412" s="13" t="str">
        <f aca="false">LEFT(C412,7)</f>
        <v>2026-09</v>
      </c>
    </row>
    <row r="413" customFormat="false" ht="15" hidden="false" customHeight="false" outlineLevel="0" collapsed="false">
      <c r="A413" s="13" t="s">
        <v>66</v>
      </c>
      <c r="B413" s="13" t="s">
        <v>71</v>
      </c>
      <c r="C413" s="13" t="s">
        <v>130</v>
      </c>
      <c r="D413" s="13" t="s">
        <v>69</v>
      </c>
      <c r="E413" s="13" t="s">
        <v>51</v>
      </c>
      <c r="F413" s="14" t="n">
        <v>20032</v>
      </c>
      <c r="G413" s="14" t="n">
        <v>20032</v>
      </c>
      <c r="H413" s="13" t="s">
        <v>52</v>
      </c>
      <c r="I413" s="14" t="n">
        <v>22645</v>
      </c>
      <c r="J413" s="14" t="n">
        <v>5</v>
      </c>
      <c r="K413" s="14"/>
      <c r="L413" s="14"/>
      <c r="M413" s="14"/>
      <c r="N413" s="14"/>
      <c r="O413" s="15"/>
      <c r="P413" s="13" t="s">
        <v>130</v>
      </c>
      <c r="Q413" s="13" t="s">
        <v>130</v>
      </c>
      <c r="R413" s="13" t="str">
        <f aca="false">TRIM(LEFT(A413,FIND("/",A413)-1))</f>
        <v>Awareness</v>
      </c>
      <c r="S413" s="13" t="str">
        <f aca="false">LEFT(C413,7)</f>
        <v>2026-09</v>
      </c>
    </row>
    <row r="414" customFormat="false" ht="15" hidden="false" customHeight="false" outlineLevel="0" collapsed="false">
      <c r="A414" s="13" t="s">
        <v>73</v>
      </c>
      <c r="B414" s="13" t="s">
        <v>74</v>
      </c>
      <c r="C414" s="13" t="s">
        <v>130</v>
      </c>
      <c r="D414" s="13" t="s">
        <v>69</v>
      </c>
      <c r="E414" s="13" t="s">
        <v>51</v>
      </c>
      <c r="F414" s="14" t="n">
        <v>7594</v>
      </c>
      <c r="G414" s="14" t="n">
        <v>8781</v>
      </c>
      <c r="H414" s="13" t="s">
        <v>52</v>
      </c>
      <c r="I414" s="14" t="n">
        <v>150932</v>
      </c>
      <c r="J414" s="14" t="n">
        <v>138</v>
      </c>
      <c r="K414" s="14" t="n">
        <v>2</v>
      </c>
      <c r="L414" s="14" t="n">
        <v>254237</v>
      </c>
      <c r="M414" s="14" t="n">
        <v>15</v>
      </c>
      <c r="N414" s="14" t="n">
        <v>2474381</v>
      </c>
      <c r="O414" s="15" t="n">
        <v>1.6844473</v>
      </c>
      <c r="P414" s="13" t="s">
        <v>130</v>
      </c>
      <c r="Q414" s="13" t="s">
        <v>130</v>
      </c>
      <c r="R414" s="13" t="str">
        <f aca="false">TRIM(LEFT(A414,FIND("/",A414)-1))</f>
        <v>Sales</v>
      </c>
      <c r="S414" s="13" t="str">
        <f aca="false">LEFT(C414,7)</f>
        <v>2026-09</v>
      </c>
    </row>
    <row r="415" customFormat="false" ht="15" hidden="false" customHeight="false" outlineLevel="0" collapsed="false">
      <c r="A415" s="13" t="s">
        <v>75</v>
      </c>
      <c r="B415" s="13" t="s">
        <v>76</v>
      </c>
      <c r="C415" s="13" t="s">
        <v>130</v>
      </c>
      <c r="D415" s="13" t="s">
        <v>69</v>
      </c>
      <c r="E415" s="13" t="s">
        <v>51</v>
      </c>
      <c r="F415" s="14" t="n">
        <v>102275</v>
      </c>
      <c r="G415" s="14" t="n">
        <v>135194</v>
      </c>
      <c r="H415" s="13" t="s">
        <v>52</v>
      </c>
      <c r="I415" s="14" t="n">
        <v>300163</v>
      </c>
      <c r="J415" s="14" t="n">
        <v>2207</v>
      </c>
      <c r="K415" s="14"/>
      <c r="L415" s="14"/>
      <c r="M415" s="14" t="n">
        <v>6</v>
      </c>
      <c r="N415" s="14" t="n">
        <v>984381</v>
      </c>
      <c r="O415" s="15"/>
      <c r="P415" s="13" t="s">
        <v>130</v>
      </c>
      <c r="Q415" s="13" t="s">
        <v>130</v>
      </c>
      <c r="R415" s="13" t="str">
        <f aca="false">TRIM(LEFT(A415,FIND("/",A415)-1))</f>
        <v>Traffic</v>
      </c>
      <c r="S415" s="13" t="str">
        <f aca="false">LEFT(C415,7)</f>
        <v>2026-09</v>
      </c>
    </row>
    <row r="416" customFormat="false" ht="15" hidden="false" customHeight="false" outlineLevel="0" collapsed="false">
      <c r="A416" s="13" t="s">
        <v>75</v>
      </c>
      <c r="B416" s="13" t="s">
        <v>77</v>
      </c>
      <c r="C416" s="13" t="s">
        <v>130</v>
      </c>
      <c r="D416" s="13" t="s">
        <v>69</v>
      </c>
      <c r="E416" s="13" t="s">
        <v>51</v>
      </c>
      <c r="F416" s="14" t="n">
        <v>2896</v>
      </c>
      <c r="G416" s="14" t="n">
        <v>3068</v>
      </c>
      <c r="H416" s="13" t="s">
        <v>52</v>
      </c>
      <c r="I416" s="14" t="n">
        <v>12491</v>
      </c>
      <c r="J416" s="14" t="n">
        <v>69</v>
      </c>
      <c r="K416" s="14"/>
      <c r="L416" s="14"/>
      <c r="M416" s="14" t="n">
        <v>1</v>
      </c>
      <c r="N416" s="14" t="n">
        <v>160411</v>
      </c>
      <c r="O416" s="15"/>
      <c r="P416" s="13" t="s">
        <v>130</v>
      </c>
      <c r="Q416" s="13" t="s">
        <v>130</v>
      </c>
      <c r="R416" s="13" t="str">
        <f aca="false">TRIM(LEFT(A416,FIND("/",A416)-1))</f>
        <v>Traffic</v>
      </c>
      <c r="S416" s="13" t="str">
        <f aca="false">LEFT(C416,7)</f>
        <v>2026-09</v>
      </c>
    </row>
    <row r="417" customFormat="false" ht="15" hidden="false" customHeight="false" outlineLevel="0" collapsed="false">
      <c r="A417" s="13" t="s">
        <v>75</v>
      </c>
      <c r="B417" s="13" t="s">
        <v>79</v>
      </c>
      <c r="C417" s="13" t="s">
        <v>130</v>
      </c>
      <c r="D417" s="13" t="s">
        <v>69</v>
      </c>
      <c r="E417" s="13" t="s">
        <v>51</v>
      </c>
      <c r="F417" s="14" t="n">
        <v>5422</v>
      </c>
      <c r="G417" s="14" t="n">
        <v>5879</v>
      </c>
      <c r="H417" s="13" t="s">
        <v>52</v>
      </c>
      <c r="I417" s="14" t="n">
        <v>19782</v>
      </c>
      <c r="J417" s="14" t="n">
        <v>131</v>
      </c>
      <c r="K417" s="14"/>
      <c r="L417" s="14"/>
      <c r="M417" s="14"/>
      <c r="N417" s="14"/>
      <c r="O417" s="15"/>
      <c r="P417" s="13" t="s">
        <v>130</v>
      </c>
      <c r="Q417" s="13" t="s">
        <v>130</v>
      </c>
      <c r="R417" s="13" t="str">
        <f aca="false">TRIM(LEFT(A417,FIND("/",A417)-1))</f>
        <v>Traffic</v>
      </c>
      <c r="S417" s="13" t="str">
        <f aca="false">LEFT(C417,7)</f>
        <v>2026-09</v>
      </c>
    </row>
    <row r="418" customFormat="false" ht="15" hidden="false" customHeight="false" outlineLevel="0" collapsed="false">
      <c r="A418" s="13" t="s">
        <v>66</v>
      </c>
      <c r="B418" s="13" t="s">
        <v>67</v>
      </c>
      <c r="C418" s="13" t="s">
        <v>131</v>
      </c>
      <c r="D418" s="13" t="s">
        <v>69</v>
      </c>
      <c r="E418" s="13" t="s">
        <v>51</v>
      </c>
      <c r="F418" s="14" t="n">
        <v>51274</v>
      </c>
      <c r="G418" s="14" t="n">
        <v>51274</v>
      </c>
      <c r="H418" s="13" t="s">
        <v>52</v>
      </c>
      <c r="I418" s="14" t="n">
        <v>58759</v>
      </c>
      <c r="J418" s="14" t="n">
        <v>6</v>
      </c>
      <c r="K418" s="14"/>
      <c r="L418" s="14"/>
      <c r="M418" s="14"/>
      <c r="N418" s="14"/>
      <c r="O418" s="15"/>
      <c r="P418" s="13" t="s">
        <v>131</v>
      </c>
      <c r="Q418" s="13" t="s">
        <v>131</v>
      </c>
      <c r="R418" s="13" t="str">
        <f aca="false">TRIM(LEFT(A418,FIND("/",A418)-1))</f>
        <v>Awareness</v>
      </c>
      <c r="S418" s="13" t="str">
        <f aca="false">LEFT(C418,7)</f>
        <v>2026-09</v>
      </c>
    </row>
    <row r="419" customFormat="false" ht="15" hidden="false" customHeight="false" outlineLevel="0" collapsed="false">
      <c r="A419" s="13" t="s">
        <v>66</v>
      </c>
      <c r="B419" s="13" t="s">
        <v>70</v>
      </c>
      <c r="C419" s="13" t="s">
        <v>131</v>
      </c>
      <c r="D419" s="13" t="s">
        <v>69</v>
      </c>
      <c r="E419" s="13" t="s">
        <v>51</v>
      </c>
      <c r="F419" s="14" t="n">
        <v>55192</v>
      </c>
      <c r="G419" s="14" t="n">
        <v>55192</v>
      </c>
      <c r="H419" s="13" t="s">
        <v>52</v>
      </c>
      <c r="I419" s="14" t="n">
        <v>61609</v>
      </c>
      <c r="J419" s="14" t="n">
        <v>4</v>
      </c>
      <c r="K419" s="14"/>
      <c r="L419" s="14"/>
      <c r="M419" s="14"/>
      <c r="N419" s="14"/>
      <c r="O419" s="15"/>
      <c r="P419" s="13" t="s">
        <v>131</v>
      </c>
      <c r="Q419" s="13" t="s">
        <v>131</v>
      </c>
      <c r="R419" s="13" t="str">
        <f aca="false">TRIM(LEFT(A419,FIND("/",A419)-1))</f>
        <v>Awareness</v>
      </c>
      <c r="S419" s="13" t="str">
        <f aca="false">LEFT(C419,7)</f>
        <v>2026-09</v>
      </c>
    </row>
    <row r="420" customFormat="false" ht="15" hidden="false" customHeight="false" outlineLevel="0" collapsed="false">
      <c r="A420" s="13" t="s">
        <v>66</v>
      </c>
      <c r="B420" s="13" t="s">
        <v>71</v>
      </c>
      <c r="C420" s="13" t="s">
        <v>131</v>
      </c>
      <c r="D420" s="13" t="s">
        <v>69</v>
      </c>
      <c r="E420" s="13" t="s">
        <v>51</v>
      </c>
      <c r="F420" s="14" t="n">
        <v>16365</v>
      </c>
      <c r="G420" s="14" t="n">
        <v>16365</v>
      </c>
      <c r="H420" s="13" t="s">
        <v>52</v>
      </c>
      <c r="I420" s="14" t="n">
        <v>18523</v>
      </c>
      <c r="J420" s="14" t="n">
        <v>6</v>
      </c>
      <c r="K420" s="14"/>
      <c r="L420" s="14"/>
      <c r="M420" s="14"/>
      <c r="N420" s="14"/>
      <c r="O420" s="15"/>
      <c r="P420" s="13" t="s">
        <v>131</v>
      </c>
      <c r="Q420" s="13" t="s">
        <v>131</v>
      </c>
      <c r="R420" s="13" t="str">
        <f aca="false">TRIM(LEFT(A420,FIND("/",A420)-1))</f>
        <v>Awareness</v>
      </c>
      <c r="S420" s="13" t="str">
        <f aca="false">LEFT(C420,7)</f>
        <v>2026-09</v>
      </c>
    </row>
    <row r="421" customFormat="false" ht="15" hidden="false" customHeight="false" outlineLevel="0" collapsed="false">
      <c r="A421" s="13" t="s">
        <v>73</v>
      </c>
      <c r="B421" s="13" t="s">
        <v>74</v>
      </c>
      <c r="C421" s="13" t="s">
        <v>131</v>
      </c>
      <c r="D421" s="13" t="s">
        <v>69</v>
      </c>
      <c r="E421" s="13" t="s">
        <v>51</v>
      </c>
      <c r="F421" s="14" t="n">
        <v>10344</v>
      </c>
      <c r="G421" s="14" t="n">
        <v>11967</v>
      </c>
      <c r="H421" s="13" t="s">
        <v>52</v>
      </c>
      <c r="I421" s="14" t="n">
        <v>275551</v>
      </c>
      <c r="J421" s="14" t="n">
        <v>199</v>
      </c>
      <c r="K421" s="14" t="n">
        <v>6</v>
      </c>
      <c r="L421" s="14" t="n">
        <v>1076687</v>
      </c>
      <c r="M421" s="14" t="n">
        <v>29</v>
      </c>
      <c r="N421" s="14" t="n">
        <v>4930706</v>
      </c>
      <c r="O421" s="15" t="n">
        <v>3.90739645</v>
      </c>
      <c r="P421" s="13" t="s">
        <v>131</v>
      </c>
      <c r="Q421" s="13" t="s">
        <v>131</v>
      </c>
      <c r="R421" s="13" t="str">
        <f aca="false">TRIM(LEFT(A421,FIND("/",A421)-1))</f>
        <v>Sales</v>
      </c>
      <c r="S421" s="13" t="str">
        <f aca="false">LEFT(C421,7)</f>
        <v>2026-09</v>
      </c>
    </row>
    <row r="422" customFormat="false" ht="15" hidden="false" customHeight="false" outlineLevel="0" collapsed="false">
      <c r="A422" s="13" t="s">
        <v>75</v>
      </c>
      <c r="B422" s="13" t="s">
        <v>76</v>
      </c>
      <c r="C422" s="13" t="s">
        <v>131</v>
      </c>
      <c r="D422" s="13" t="s">
        <v>69</v>
      </c>
      <c r="E422" s="13" t="s">
        <v>51</v>
      </c>
      <c r="F422" s="14" t="n">
        <v>86259</v>
      </c>
      <c r="G422" s="14" t="n">
        <v>112245</v>
      </c>
      <c r="H422" s="13" t="s">
        <v>52</v>
      </c>
      <c r="I422" s="14" t="n">
        <v>252817</v>
      </c>
      <c r="J422" s="14" t="n">
        <v>1932</v>
      </c>
      <c r="K422" s="14"/>
      <c r="L422" s="14"/>
      <c r="M422" s="14" t="n">
        <v>4</v>
      </c>
      <c r="N422" s="14" t="n">
        <v>626676</v>
      </c>
      <c r="O422" s="15"/>
      <c r="P422" s="13" t="s">
        <v>131</v>
      </c>
      <c r="Q422" s="13" t="s">
        <v>131</v>
      </c>
      <c r="R422" s="13" t="str">
        <f aca="false">TRIM(LEFT(A422,FIND("/",A422)-1))</f>
        <v>Traffic</v>
      </c>
      <c r="S422" s="13" t="str">
        <f aca="false">LEFT(C422,7)</f>
        <v>2026-09</v>
      </c>
    </row>
    <row r="423" customFormat="false" ht="15" hidden="false" customHeight="false" outlineLevel="0" collapsed="false">
      <c r="A423" s="13" t="s">
        <v>75</v>
      </c>
      <c r="B423" s="13" t="s">
        <v>77</v>
      </c>
      <c r="C423" s="13" t="s">
        <v>131</v>
      </c>
      <c r="D423" s="13" t="s">
        <v>69</v>
      </c>
      <c r="E423" s="13" t="s">
        <v>51</v>
      </c>
      <c r="F423" s="14" t="n">
        <v>1982</v>
      </c>
      <c r="G423" s="14" t="n">
        <v>2116</v>
      </c>
      <c r="H423" s="13" t="s">
        <v>52</v>
      </c>
      <c r="I423" s="14" t="n">
        <v>7441</v>
      </c>
      <c r="J423" s="14" t="n">
        <v>60</v>
      </c>
      <c r="K423" s="14"/>
      <c r="L423" s="14"/>
      <c r="M423" s="14"/>
      <c r="N423" s="14"/>
      <c r="O423" s="15"/>
      <c r="P423" s="13" t="s">
        <v>131</v>
      </c>
      <c r="Q423" s="13" t="s">
        <v>131</v>
      </c>
      <c r="R423" s="13" t="str">
        <f aca="false">TRIM(LEFT(A423,FIND("/",A423)-1))</f>
        <v>Traffic</v>
      </c>
      <c r="S423" s="13" t="str">
        <f aca="false">LEFT(C423,7)</f>
        <v>2026-09</v>
      </c>
    </row>
    <row r="424" customFormat="false" ht="15" hidden="false" customHeight="false" outlineLevel="0" collapsed="false">
      <c r="A424" s="13" t="s">
        <v>75</v>
      </c>
      <c r="B424" s="13" t="s">
        <v>79</v>
      </c>
      <c r="C424" s="13" t="s">
        <v>131</v>
      </c>
      <c r="D424" s="13" t="s">
        <v>69</v>
      </c>
      <c r="E424" s="13" t="s">
        <v>51</v>
      </c>
      <c r="F424" s="14" t="n">
        <v>4607</v>
      </c>
      <c r="G424" s="14" t="n">
        <v>4818</v>
      </c>
      <c r="H424" s="13" t="s">
        <v>52</v>
      </c>
      <c r="I424" s="14" t="n">
        <v>12328</v>
      </c>
      <c r="J424" s="14" t="n">
        <v>84</v>
      </c>
      <c r="K424" s="14"/>
      <c r="L424" s="14"/>
      <c r="M424" s="14"/>
      <c r="N424" s="14"/>
      <c r="O424" s="15"/>
      <c r="P424" s="13" t="s">
        <v>131</v>
      </c>
      <c r="Q424" s="13" t="s">
        <v>131</v>
      </c>
      <c r="R424" s="13" t="str">
        <f aca="false">TRIM(LEFT(A424,FIND("/",A424)-1))</f>
        <v>Traffic</v>
      </c>
      <c r="S424" s="13" t="str">
        <f aca="false">LEFT(C424,7)</f>
        <v>2026-09</v>
      </c>
    </row>
    <row r="425" customFormat="false" ht="15" hidden="false" customHeight="false" outlineLevel="0" collapsed="false">
      <c r="A425" s="13" t="s">
        <v>66</v>
      </c>
      <c r="B425" s="13" t="s">
        <v>67</v>
      </c>
      <c r="C425" s="13" t="s">
        <v>132</v>
      </c>
      <c r="D425" s="13" t="s">
        <v>69</v>
      </c>
      <c r="E425" s="13" t="s">
        <v>51</v>
      </c>
      <c r="F425" s="14" t="n">
        <v>60070</v>
      </c>
      <c r="G425" s="14" t="n">
        <v>62389</v>
      </c>
      <c r="H425" s="13" t="s">
        <v>52</v>
      </c>
      <c r="I425" s="14" t="n">
        <v>72361</v>
      </c>
      <c r="J425" s="14" t="n">
        <v>9</v>
      </c>
      <c r="K425" s="14"/>
      <c r="L425" s="14"/>
      <c r="M425" s="14"/>
      <c r="N425" s="14"/>
      <c r="O425" s="15"/>
      <c r="P425" s="13" t="s">
        <v>132</v>
      </c>
      <c r="Q425" s="13" t="s">
        <v>132</v>
      </c>
      <c r="R425" s="13" t="str">
        <f aca="false">TRIM(LEFT(A425,FIND("/",A425)-1))</f>
        <v>Awareness</v>
      </c>
      <c r="S425" s="13" t="str">
        <f aca="false">LEFT(C425,7)</f>
        <v>2026-09</v>
      </c>
    </row>
    <row r="426" customFormat="false" ht="15" hidden="false" customHeight="false" outlineLevel="0" collapsed="false">
      <c r="A426" s="13" t="s">
        <v>66</v>
      </c>
      <c r="B426" s="13" t="s">
        <v>70</v>
      </c>
      <c r="C426" s="13" t="s">
        <v>132</v>
      </c>
      <c r="D426" s="13" t="s">
        <v>69</v>
      </c>
      <c r="E426" s="13" t="s">
        <v>51</v>
      </c>
      <c r="F426" s="14" t="n">
        <v>44247</v>
      </c>
      <c r="G426" s="14" t="n">
        <v>44247</v>
      </c>
      <c r="H426" s="13" t="s">
        <v>52</v>
      </c>
      <c r="I426" s="14" t="n">
        <v>50813</v>
      </c>
      <c r="J426" s="14" t="n">
        <v>10</v>
      </c>
      <c r="K426" s="14"/>
      <c r="L426" s="14"/>
      <c r="M426" s="14"/>
      <c r="N426" s="14"/>
      <c r="O426" s="15"/>
      <c r="P426" s="13" t="s">
        <v>132</v>
      </c>
      <c r="Q426" s="13" t="s">
        <v>132</v>
      </c>
      <c r="R426" s="13" t="str">
        <f aca="false">TRIM(LEFT(A426,FIND("/",A426)-1))</f>
        <v>Awareness</v>
      </c>
      <c r="S426" s="13" t="str">
        <f aca="false">LEFT(C426,7)</f>
        <v>2026-09</v>
      </c>
    </row>
    <row r="427" customFormat="false" ht="15" hidden="false" customHeight="false" outlineLevel="0" collapsed="false">
      <c r="A427" s="13" t="s">
        <v>66</v>
      </c>
      <c r="B427" s="13" t="s">
        <v>71</v>
      </c>
      <c r="C427" s="13" t="s">
        <v>132</v>
      </c>
      <c r="D427" s="13" t="s">
        <v>69</v>
      </c>
      <c r="E427" s="13" t="s">
        <v>51</v>
      </c>
      <c r="F427" s="14" t="n">
        <v>20007</v>
      </c>
      <c r="G427" s="14" t="n">
        <v>20089</v>
      </c>
      <c r="H427" s="13" t="s">
        <v>52</v>
      </c>
      <c r="I427" s="14" t="n">
        <v>22979</v>
      </c>
      <c r="J427" s="14" t="n">
        <v>6</v>
      </c>
      <c r="K427" s="14"/>
      <c r="L427" s="14"/>
      <c r="M427" s="14"/>
      <c r="N427" s="14"/>
      <c r="O427" s="15"/>
      <c r="P427" s="13" t="s">
        <v>132</v>
      </c>
      <c r="Q427" s="13" t="s">
        <v>132</v>
      </c>
      <c r="R427" s="13" t="str">
        <f aca="false">TRIM(LEFT(A427,FIND("/",A427)-1))</f>
        <v>Awareness</v>
      </c>
      <c r="S427" s="13" t="str">
        <f aca="false">LEFT(C427,7)</f>
        <v>2026-09</v>
      </c>
    </row>
    <row r="428" customFormat="false" ht="15" hidden="false" customHeight="false" outlineLevel="0" collapsed="false">
      <c r="A428" s="13" t="s">
        <v>73</v>
      </c>
      <c r="B428" s="13" t="s">
        <v>74</v>
      </c>
      <c r="C428" s="13" t="s">
        <v>132</v>
      </c>
      <c r="D428" s="13" t="s">
        <v>69</v>
      </c>
      <c r="E428" s="13" t="s">
        <v>51</v>
      </c>
      <c r="F428" s="14" t="n">
        <v>7849</v>
      </c>
      <c r="G428" s="14" t="n">
        <v>8681</v>
      </c>
      <c r="H428" s="13" t="s">
        <v>52</v>
      </c>
      <c r="I428" s="14" t="n">
        <v>203253</v>
      </c>
      <c r="J428" s="14" t="n">
        <v>173</v>
      </c>
      <c r="K428" s="14" t="n">
        <v>1</v>
      </c>
      <c r="L428" s="14" t="n">
        <v>172868</v>
      </c>
      <c r="M428" s="14" t="n">
        <v>18</v>
      </c>
      <c r="N428" s="14" t="n">
        <v>3097862</v>
      </c>
      <c r="O428" s="15" t="n">
        <v>0.85050651</v>
      </c>
      <c r="P428" s="13" t="s">
        <v>132</v>
      </c>
      <c r="Q428" s="13" t="s">
        <v>132</v>
      </c>
      <c r="R428" s="13" t="str">
        <f aca="false">TRIM(LEFT(A428,FIND("/",A428)-1))</f>
        <v>Sales</v>
      </c>
      <c r="S428" s="13" t="str">
        <f aca="false">LEFT(C428,7)</f>
        <v>2026-09</v>
      </c>
    </row>
    <row r="429" customFormat="false" ht="15" hidden="false" customHeight="false" outlineLevel="0" collapsed="false">
      <c r="A429" s="13" t="s">
        <v>75</v>
      </c>
      <c r="B429" s="13" t="s">
        <v>76</v>
      </c>
      <c r="C429" s="13" t="s">
        <v>132</v>
      </c>
      <c r="D429" s="13" t="s">
        <v>69</v>
      </c>
      <c r="E429" s="13" t="s">
        <v>51</v>
      </c>
      <c r="F429" s="14" t="n">
        <v>81093</v>
      </c>
      <c r="G429" s="14" t="n">
        <v>95760</v>
      </c>
      <c r="H429" s="13" t="s">
        <v>52</v>
      </c>
      <c r="I429" s="14" t="n">
        <v>234442</v>
      </c>
      <c r="J429" s="14" t="n">
        <v>1629</v>
      </c>
      <c r="K429" s="14" t="n">
        <v>1</v>
      </c>
      <c r="L429" s="14" t="n">
        <v>171411</v>
      </c>
      <c r="M429" s="14" t="n">
        <v>6</v>
      </c>
      <c r="N429" s="14" t="n">
        <v>1051422</v>
      </c>
      <c r="O429" s="15" t="n">
        <v>0.73114459</v>
      </c>
      <c r="P429" s="13" t="s">
        <v>132</v>
      </c>
      <c r="Q429" s="13" t="s">
        <v>132</v>
      </c>
      <c r="R429" s="13" t="str">
        <f aca="false">TRIM(LEFT(A429,FIND("/",A429)-1))</f>
        <v>Traffic</v>
      </c>
      <c r="S429" s="13" t="str">
        <f aca="false">LEFT(C429,7)</f>
        <v>2026-09</v>
      </c>
    </row>
    <row r="430" customFormat="false" ht="15" hidden="false" customHeight="false" outlineLevel="0" collapsed="false">
      <c r="A430" s="13" t="s">
        <v>75</v>
      </c>
      <c r="B430" s="13" t="s">
        <v>77</v>
      </c>
      <c r="C430" s="13" t="s">
        <v>132</v>
      </c>
      <c r="D430" s="13" t="s">
        <v>69</v>
      </c>
      <c r="E430" s="13" t="s">
        <v>51</v>
      </c>
      <c r="F430" s="14" t="n">
        <v>7010</v>
      </c>
      <c r="G430" s="14" t="n">
        <v>8757</v>
      </c>
      <c r="H430" s="13" t="s">
        <v>52</v>
      </c>
      <c r="I430" s="14" t="n">
        <v>36645</v>
      </c>
      <c r="J430" s="14" t="n">
        <v>255</v>
      </c>
      <c r="K430" s="14"/>
      <c r="L430" s="14"/>
      <c r="M430" s="14" t="n">
        <v>4</v>
      </c>
      <c r="N430" s="14" t="n">
        <v>568455</v>
      </c>
      <c r="O430" s="15"/>
      <c r="P430" s="13" t="s">
        <v>132</v>
      </c>
      <c r="Q430" s="13" t="s">
        <v>132</v>
      </c>
      <c r="R430" s="13" t="str">
        <f aca="false">TRIM(LEFT(A430,FIND("/",A430)-1))</f>
        <v>Traffic</v>
      </c>
      <c r="S430" s="13" t="str">
        <f aca="false">LEFT(C430,7)</f>
        <v>2026-09</v>
      </c>
    </row>
    <row r="431" customFormat="false" ht="15" hidden="false" customHeight="false" outlineLevel="0" collapsed="false">
      <c r="A431" s="13" t="s">
        <v>75</v>
      </c>
      <c r="B431" s="13" t="s">
        <v>79</v>
      </c>
      <c r="C431" s="13" t="s">
        <v>132</v>
      </c>
      <c r="D431" s="13" t="s">
        <v>69</v>
      </c>
      <c r="E431" s="13" t="s">
        <v>51</v>
      </c>
      <c r="F431" s="14" t="n">
        <v>1953</v>
      </c>
      <c r="G431" s="14" t="n">
        <v>1998</v>
      </c>
      <c r="H431" s="13" t="s">
        <v>52</v>
      </c>
      <c r="I431" s="14" t="n">
        <v>5428</v>
      </c>
      <c r="J431" s="14" t="n">
        <v>40</v>
      </c>
      <c r="K431" s="14"/>
      <c r="L431" s="14"/>
      <c r="M431" s="14"/>
      <c r="N431" s="14"/>
      <c r="O431" s="15"/>
      <c r="P431" s="13" t="s">
        <v>132</v>
      </c>
      <c r="Q431" s="13" t="s">
        <v>132</v>
      </c>
      <c r="R431" s="13" t="str">
        <f aca="false">TRIM(LEFT(A431,FIND("/",A431)-1))</f>
        <v>Traffic</v>
      </c>
      <c r="S431" s="13" t="str">
        <f aca="false">LEFT(C431,7)</f>
        <v>2026-09</v>
      </c>
    </row>
    <row r="432" customFormat="false" ht="15" hidden="false" customHeight="false" outlineLevel="0" collapsed="false">
      <c r="A432" s="13" t="s">
        <v>66</v>
      </c>
      <c r="B432" s="13" t="s">
        <v>67</v>
      </c>
      <c r="C432" s="13" t="s">
        <v>133</v>
      </c>
      <c r="D432" s="13" t="s">
        <v>69</v>
      </c>
      <c r="E432" s="13" t="s">
        <v>51</v>
      </c>
      <c r="F432" s="14" t="n">
        <v>53014</v>
      </c>
      <c r="G432" s="14" t="n">
        <v>53014</v>
      </c>
      <c r="H432" s="13" t="s">
        <v>52</v>
      </c>
      <c r="I432" s="14" t="n">
        <v>63154</v>
      </c>
      <c r="J432" s="14" t="n">
        <v>10</v>
      </c>
      <c r="K432" s="14"/>
      <c r="L432" s="14"/>
      <c r="M432" s="14"/>
      <c r="N432" s="14"/>
      <c r="O432" s="15"/>
      <c r="P432" s="13" t="s">
        <v>133</v>
      </c>
      <c r="Q432" s="13" t="s">
        <v>133</v>
      </c>
      <c r="R432" s="13" t="str">
        <f aca="false">TRIM(LEFT(A432,FIND("/",A432)-1))</f>
        <v>Awareness</v>
      </c>
      <c r="S432" s="13" t="str">
        <f aca="false">LEFT(C432,7)</f>
        <v>2026-09</v>
      </c>
    </row>
    <row r="433" customFormat="false" ht="15" hidden="false" customHeight="false" outlineLevel="0" collapsed="false">
      <c r="A433" s="13" t="s">
        <v>66</v>
      </c>
      <c r="B433" s="13" t="s">
        <v>70</v>
      </c>
      <c r="C433" s="13" t="s">
        <v>133</v>
      </c>
      <c r="D433" s="13" t="s">
        <v>69</v>
      </c>
      <c r="E433" s="13" t="s">
        <v>51</v>
      </c>
      <c r="F433" s="14" t="n">
        <v>53602</v>
      </c>
      <c r="G433" s="14" t="n">
        <v>54878</v>
      </c>
      <c r="H433" s="13" t="s">
        <v>52</v>
      </c>
      <c r="I433" s="14" t="n">
        <v>64493</v>
      </c>
      <c r="J433" s="14" t="n">
        <v>8</v>
      </c>
      <c r="K433" s="14"/>
      <c r="L433" s="14"/>
      <c r="M433" s="14"/>
      <c r="N433" s="14"/>
      <c r="O433" s="15"/>
      <c r="P433" s="13" t="s">
        <v>133</v>
      </c>
      <c r="Q433" s="13" t="s">
        <v>133</v>
      </c>
      <c r="R433" s="13" t="str">
        <f aca="false">TRIM(LEFT(A433,FIND("/",A433)-1))</f>
        <v>Awareness</v>
      </c>
      <c r="S433" s="13" t="str">
        <f aca="false">LEFT(C433,7)</f>
        <v>2026-09</v>
      </c>
    </row>
    <row r="434" customFormat="false" ht="15" hidden="false" customHeight="false" outlineLevel="0" collapsed="false">
      <c r="A434" s="13" t="s">
        <v>66</v>
      </c>
      <c r="B434" s="13" t="s">
        <v>71</v>
      </c>
      <c r="C434" s="13" t="s">
        <v>133</v>
      </c>
      <c r="D434" s="13" t="s">
        <v>69</v>
      </c>
      <c r="E434" s="13" t="s">
        <v>51</v>
      </c>
      <c r="F434" s="14" t="n">
        <v>11488</v>
      </c>
      <c r="G434" s="14" t="n">
        <v>11488</v>
      </c>
      <c r="H434" s="13" t="s">
        <v>52</v>
      </c>
      <c r="I434" s="14" t="n">
        <v>13607</v>
      </c>
      <c r="J434" s="14" t="n">
        <v>2</v>
      </c>
      <c r="K434" s="14"/>
      <c r="L434" s="14"/>
      <c r="M434" s="14"/>
      <c r="N434" s="14"/>
      <c r="O434" s="15"/>
      <c r="P434" s="13" t="s">
        <v>133</v>
      </c>
      <c r="Q434" s="13" t="s">
        <v>133</v>
      </c>
      <c r="R434" s="13" t="str">
        <f aca="false">TRIM(LEFT(A434,FIND("/",A434)-1))</f>
        <v>Awareness</v>
      </c>
      <c r="S434" s="13" t="str">
        <f aca="false">LEFT(C434,7)</f>
        <v>2026-09</v>
      </c>
    </row>
    <row r="435" customFormat="false" ht="15" hidden="false" customHeight="false" outlineLevel="0" collapsed="false">
      <c r="A435" s="13" t="s">
        <v>73</v>
      </c>
      <c r="B435" s="13" t="s">
        <v>74</v>
      </c>
      <c r="C435" s="13" t="s">
        <v>133</v>
      </c>
      <c r="D435" s="13" t="s">
        <v>69</v>
      </c>
      <c r="E435" s="13" t="s">
        <v>51</v>
      </c>
      <c r="F435" s="14" t="n">
        <v>6373</v>
      </c>
      <c r="G435" s="14" t="n">
        <v>7140</v>
      </c>
      <c r="H435" s="13" t="s">
        <v>52</v>
      </c>
      <c r="I435" s="14" t="n">
        <v>174867</v>
      </c>
      <c r="J435" s="14" t="n">
        <v>124</v>
      </c>
      <c r="K435" s="14" t="n">
        <v>1</v>
      </c>
      <c r="L435" s="14" t="n">
        <v>172868</v>
      </c>
      <c r="M435" s="14" t="n">
        <v>16</v>
      </c>
      <c r="N435" s="14" t="n">
        <v>2767818</v>
      </c>
      <c r="O435" s="15" t="n">
        <v>0.98856845</v>
      </c>
      <c r="P435" s="13" t="s">
        <v>133</v>
      </c>
      <c r="Q435" s="13" t="s">
        <v>133</v>
      </c>
      <c r="R435" s="13" t="str">
        <f aca="false">TRIM(LEFT(A435,FIND("/",A435)-1))</f>
        <v>Sales</v>
      </c>
      <c r="S435" s="13" t="str">
        <f aca="false">LEFT(C435,7)</f>
        <v>2026-09</v>
      </c>
    </row>
    <row r="436" customFormat="false" ht="15" hidden="false" customHeight="false" outlineLevel="0" collapsed="false">
      <c r="A436" s="13" t="s">
        <v>75</v>
      </c>
      <c r="B436" s="13" t="s">
        <v>76</v>
      </c>
      <c r="C436" s="13" t="s">
        <v>133</v>
      </c>
      <c r="D436" s="13" t="s">
        <v>69</v>
      </c>
      <c r="E436" s="13" t="s">
        <v>51</v>
      </c>
      <c r="F436" s="14" t="n">
        <v>84373</v>
      </c>
      <c r="G436" s="14" t="n">
        <v>104063</v>
      </c>
      <c r="H436" s="13" t="s">
        <v>52</v>
      </c>
      <c r="I436" s="14" t="n">
        <v>269271</v>
      </c>
      <c r="J436" s="14" t="n">
        <v>1586</v>
      </c>
      <c r="K436" s="14"/>
      <c r="L436" s="14"/>
      <c r="M436" s="14" t="n">
        <v>10</v>
      </c>
      <c r="N436" s="14" t="n">
        <v>1523160</v>
      </c>
      <c r="O436" s="15"/>
      <c r="P436" s="13" t="s">
        <v>133</v>
      </c>
      <c r="Q436" s="13" t="s">
        <v>133</v>
      </c>
      <c r="R436" s="13" t="str">
        <f aca="false">TRIM(LEFT(A436,FIND("/",A436)-1))</f>
        <v>Traffic</v>
      </c>
      <c r="S436" s="13" t="str">
        <f aca="false">LEFT(C436,7)</f>
        <v>2026-09</v>
      </c>
    </row>
    <row r="437" customFormat="false" ht="15" hidden="false" customHeight="false" outlineLevel="0" collapsed="false">
      <c r="A437" s="13" t="s">
        <v>75</v>
      </c>
      <c r="B437" s="13" t="s">
        <v>77</v>
      </c>
      <c r="C437" s="13" t="s">
        <v>133</v>
      </c>
      <c r="D437" s="13" t="s">
        <v>69</v>
      </c>
      <c r="E437" s="13" t="s">
        <v>51</v>
      </c>
      <c r="F437" s="14" t="n">
        <v>6410</v>
      </c>
      <c r="G437" s="14" t="n">
        <v>7850</v>
      </c>
      <c r="H437" s="13" t="s">
        <v>52</v>
      </c>
      <c r="I437" s="14" t="n">
        <v>30308</v>
      </c>
      <c r="J437" s="14" t="n">
        <v>155</v>
      </c>
      <c r="K437" s="14"/>
      <c r="L437" s="14"/>
      <c r="M437" s="14"/>
      <c r="N437" s="14"/>
      <c r="O437" s="15"/>
      <c r="P437" s="13" t="s">
        <v>133</v>
      </c>
      <c r="Q437" s="13" t="s">
        <v>133</v>
      </c>
      <c r="R437" s="13" t="str">
        <f aca="false">TRIM(LEFT(A437,FIND("/",A437)-1))</f>
        <v>Traffic</v>
      </c>
      <c r="S437" s="13" t="str">
        <f aca="false">LEFT(C437,7)</f>
        <v>2026-09</v>
      </c>
    </row>
    <row r="438" customFormat="false" ht="15" hidden="false" customHeight="false" outlineLevel="0" collapsed="false">
      <c r="A438" s="13" t="s">
        <v>75</v>
      </c>
      <c r="B438" s="13" t="s">
        <v>79</v>
      </c>
      <c r="C438" s="13" t="s">
        <v>133</v>
      </c>
      <c r="D438" s="13" t="s">
        <v>69</v>
      </c>
      <c r="E438" s="13" t="s">
        <v>51</v>
      </c>
      <c r="F438" s="14" t="n">
        <v>2197</v>
      </c>
      <c r="G438" s="14" t="n">
        <v>2327</v>
      </c>
      <c r="H438" s="13" t="s">
        <v>52</v>
      </c>
      <c r="I438" s="14" t="n">
        <v>4817</v>
      </c>
      <c r="J438" s="14" t="n">
        <v>35</v>
      </c>
      <c r="K438" s="14"/>
      <c r="L438" s="14"/>
      <c r="M438" s="14"/>
      <c r="N438" s="14"/>
      <c r="O438" s="15"/>
      <c r="P438" s="13" t="s">
        <v>133</v>
      </c>
      <c r="Q438" s="13" t="s">
        <v>133</v>
      </c>
      <c r="R438" s="13" t="str">
        <f aca="false">TRIM(LEFT(A438,FIND("/",A438)-1))</f>
        <v>Traffic</v>
      </c>
      <c r="S438" s="13" t="str">
        <f aca="false">LEFT(C438,7)</f>
        <v>2026-09</v>
      </c>
    </row>
    <row r="439" customFormat="false" ht="15" hidden="false" customHeight="false" outlineLevel="0" collapsed="false">
      <c r="A439" s="13" t="s">
        <v>66</v>
      </c>
      <c r="B439" s="13" t="s">
        <v>67</v>
      </c>
      <c r="C439" s="13" t="s">
        <v>134</v>
      </c>
      <c r="D439" s="13" t="s">
        <v>69</v>
      </c>
      <c r="E439" s="13" t="s">
        <v>51</v>
      </c>
      <c r="F439" s="14" t="n">
        <v>54600</v>
      </c>
      <c r="G439" s="14" t="n">
        <v>54600</v>
      </c>
      <c r="H439" s="13" t="s">
        <v>52</v>
      </c>
      <c r="I439" s="14" t="n">
        <v>64975</v>
      </c>
      <c r="J439" s="14" t="n">
        <v>8</v>
      </c>
      <c r="K439" s="14"/>
      <c r="L439" s="14"/>
      <c r="M439" s="14"/>
      <c r="N439" s="14"/>
      <c r="O439" s="15"/>
      <c r="P439" s="13" t="s">
        <v>134</v>
      </c>
      <c r="Q439" s="13" t="s">
        <v>134</v>
      </c>
      <c r="R439" s="13" t="str">
        <f aca="false">TRIM(LEFT(A439,FIND("/",A439)-1))</f>
        <v>Awareness</v>
      </c>
      <c r="S439" s="13" t="str">
        <f aca="false">LEFT(C439,7)</f>
        <v>2026-09</v>
      </c>
    </row>
    <row r="440" customFormat="false" ht="15" hidden="false" customHeight="false" outlineLevel="0" collapsed="false">
      <c r="A440" s="13" t="s">
        <v>66</v>
      </c>
      <c r="B440" s="13" t="s">
        <v>70</v>
      </c>
      <c r="C440" s="13" t="s">
        <v>134</v>
      </c>
      <c r="D440" s="13" t="s">
        <v>69</v>
      </c>
      <c r="E440" s="13" t="s">
        <v>51</v>
      </c>
      <c r="F440" s="14" t="n">
        <v>55600</v>
      </c>
      <c r="G440" s="14" t="n">
        <v>56519</v>
      </c>
      <c r="H440" s="13" t="s">
        <v>52</v>
      </c>
      <c r="I440" s="14" t="n">
        <v>66116</v>
      </c>
      <c r="J440" s="14" t="n">
        <v>10</v>
      </c>
      <c r="K440" s="14"/>
      <c r="L440" s="14"/>
      <c r="M440" s="14" t="n">
        <v>1</v>
      </c>
      <c r="N440" s="14" t="n">
        <v>140378</v>
      </c>
      <c r="O440" s="15"/>
      <c r="P440" s="13" t="s">
        <v>134</v>
      </c>
      <c r="Q440" s="13" t="s">
        <v>134</v>
      </c>
      <c r="R440" s="13" t="str">
        <f aca="false">TRIM(LEFT(A440,FIND("/",A440)-1))</f>
        <v>Awareness</v>
      </c>
      <c r="S440" s="13" t="str">
        <f aca="false">LEFT(C440,7)</f>
        <v>2026-09</v>
      </c>
    </row>
    <row r="441" customFormat="false" ht="15" hidden="false" customHeight="false" outlineLevel="0" collapsed="false">
      <c r="A441" s="13" t="s">
        <v>66</v>
      </c>
      <c r="B441" s="13" t="s">
        <v>71</v>
      </c>
      <c r="C441" s="13" t="s">
        <v>134</v>
      </c>
      <c r="D441" s="13" t="s">
        <v>69</v>
      </c>
      <c r="E441" s="13" t="s">
        <v>51</v>
      </c>
      <c r="F441" s="14" t="n">
        <v>18529</v>
      </c>
      <c r="G441" s="14" t="n">
        <v>18529</v>
      </c>
      <c r="H441" s="13" t="s">
        <v>52</v>
      </c>
      <c r="I441" s="14" t="n">
        <v>22026</v>
      </c>
      <c r="J441" s="14" t="n">
        <v>4</v>
      </c>
      <c r="K441" s="14"/>
      <c r="L441" s="14"/>
      <c r="M441" s="14"/>
      <c r="N441" s="14"/>
      <c r="O441" s="15"/>
      <c r="P441" s="13" t="s">
        <v>134</v>
      </c>
      <c r="Q441" s="13" t="s">
        <v>134</v>
      </c>
      <c r="R441" s="13" t="str">
        <f aca="false">TRIM(LEFT(A441,FIND("/",A441)-1))</f>
        <v>Awareness</v>
      </c>
      <c r="S441" s="13" t="str">
        <f aca="false">LEFT(C441,7)</f>
        <v>2026-09</v>
      </c>
    </row>
    <row r="442" customFormat="false" ht="15" hidden="false" customHeight="false" outlineLevel="0" collapsed="false">
      <c r="A442" s="13" t="s">
        <v>73</v>
      </c>
      <c r="B442" s="13" t="s">
        <v>74</v>
      </c>
      <c r="C442" s="13" t="s">
        <v>134</v>
      </c>
      <c r="D442" s="13" t="s">
        <v>69</v>
      </c>
      <c r="E442" s="13" t="s">
        <v>51</v>
      </c>
      <c r="F442" s="14" t="n">
        <v>8971</v>
      </c>
      <c r="G442" s="14" t="n">
        <v>10129</v>
      </c>
      <c r="H442" s="13" t="s">
        <v>52</v>
      </c>
      <c r="I442" s="14" t="n">
        <v>229440</v>
      </c>
      <c r="J442" s="14" t="n">
        <v>187</v>
      </c>
      <c r="K442" s="14" t="n">
        <v>2</v>
      </c>
      <c r="L442" s="14" t="n">
        <v>371936</v>
      </c>
      <c r="M442" s="14" t="n">
        <v>19</v>
      </c>
      <c r="N442" s="14" t="n">
        <v>3286062</v>
      </c>
      <c r="O442" s="15" t="n">
        <v>1.62105997</v>
      </c>
      <c r="P442" s="13" t="s">
        <v>134</v>
      </c>
      <c r="Q442" s="13" t="s">
        <v>134</v>
      </c>
      <c r="R442" s="13" t="str">
        <f aca="false">TRIM(LEFT(A442,FIND("/",A442)-1))</f>
        <v>Sales</v>
      </c>
      <c r="S442" s="13" t="str">
        <f aca="false">LEFT(C442,7)</f>
        <v>2026-09</v>
      </c>
    </row>
    <row r="443" customFormat="false" ht="15" hidden="false" customHeight="false" outlineLevel="0" collapsed="false">
      <c r="A443" s="13" t="s">
        <v>75</v>
      </c>
      <c r="B443" s="13" t="s">
        <v>76</v>
      </c>
      <c r="C443" s="13" t="s">
        <v>134</v>
      </c>
      <c r="D443" s="13" t="s">
        <v>69</v>
      </c>
      <c r="E443" s="13" t="s">
        <v>51</v>
      </c>
      <c r="F443" s="14" t="n">
        <v>125153</v>
      </c>
      <c r="G443" s="14" t="n">
        <v>142309</v>
      </c>
      <c r="H443" s="13" t="s">
        <v>52</v>
      </c>
      <c r="I443" s="14" t="n">
        <v>310396</v>
      </c>
      <c r="J443" s="14" t="n">
        <v>2286</v>
      </c>
      <c r="K443" s="14"/>
      <c r="L443" s="14"/>
      <c r="M443" s="14" t="n">
        <v>7</v>
      </c>
      <c r="N443" s="14" t="n">
        <v>1203424</v>
      </c>
      <c r="O443" s="15"/>
      <c r="P443" s="13" t="s">
        <v>134</v>
      </c>
      <c r="Q443" s="13" t="s">
        <v>134</v>
      </c>
      <c r="R443" s="13" t="str">
        <f aca="false">TRIM(LEFT(A443,FIND("/",A443)-1))</f>
        <v>Traffic</v>
      </c>
      <c r="S443" s="13" t="str">
        <f aca="false">LEFT(C443,7)</f>
        <v>2026-09</v>
      </c>
    </row>
    <row r="444" customFormat="false" ht="15" hidden="false" customHeight="false" outlineLevel="0" collapsed="false">
      <c r="A444" s="13" t="s">
        <v>75</v>
      </c>
      <c r="B444" s="13" t="s">
        <v>77</v>
      </c>
      <c r="C444" s="13" t="s">
        <v>134</v>
      </c>
      <c r="D444" s="13" t="s">
        <v>69</v>
      </c>
      <c r="E444" s="13" t="s">
        <v>51</v>
      </c>
      <c r="F444" s="14" t="n">
        <v>6111</v>
      </c>
      <c r="G444" s="14" t="n">
        <v>6590</v>
      </c>
      <c r="H444" s="13" t="s">
        <v>52</v>
      </c>
      <c r="I444" s="14" t="n">
        <v>17674</v>
      </c>
      <c r="J444" s="14" t="n">
        <v>139</v>
      </c>
      <c r="K444" s="14"/>
      <c r="L444" s="14"/>
      <c r="M444" s="14" t="n">
        <v>1</v>
      </c>
      <c r="N444" s="14" t="n">
        <v>172868</v>
      </c>
      <c r="O444" s="15"/>
      <c r="P444" s="13" t="s">
        <v>134</v>
      </c>
      <c r="Q444" s="13" t="s">
        <v>134</v>
      </c>
      <c r="R444" s="13" t="str">
        <f aca="false">TRIM(LEFT(A444,FIND("/",A444)-1))</f>
        <v>Traffic</v>
      </c>
      <c r="S444" s="13" t="str">
        <f aca="false">LEFT(C444,7)</f>
        <v>2026-09</v>
      </c>
    </row>
    <row r="445" customFormat="false" ht="15" hidden="false" customHeight="false" outlineLevel="0" collapsed="false">
      <c r="A445" s="13" t="s">
        <v>75</v>
      </c>
      <c r="B445" s="13" t="s">
        <v>79</v>
      </c>
      <c r="C445" s="13" t="s">
        <v>134</v>
      </c>
      <c r="D445" s="13" t="s">
        <v>69</v>
      </c>
      <c r="E445" s="13" t="s">
        <v>51</v>
      </c>
      <c r="F445" s="14" t="n">
        <v>19909</v>
      </c>
      <c r="G445" s="14" t="n">
        <v>21683</v>
      </c>
      <c r="H445" s="13" t="s">
        <v>52</v>
      </c>
      <c r="I445" s="14" t="n">
        <v>60808</v>
      </c>
      <c r="J445" s="14" t="n">
        <v>438</v>
      </c>
      <c r="K445" s="14"/>
      <c r="L445" s="14"/>
      <c r="M445" s="14" t="n">
        <v>1</v>
      </c>
      <c r="N445" s="14" t="n">
        <v>170154</v>
      </c>
      <c r="O445" s="15"/>
      <c r="P445" s="13" t="s">
        <v>134</v>
      </c>
      <c r="Q445" s="13" t="s">
        <v>134</v>
      </c>
      <c r="R445" s="13" t="str">
        <f aca="false">TRIM(LEFT(A445,FIND("/",A445)-1))</f>
        <v>Traffic</v>
      </c>
      <c r="S445" s="13" t="str">
        <f aca="false">LEFT(C445,7)</f>
        <v>2026-09</v>
      </c>
    </row>
    <row r="446" customFormat="false" ht="15" hidden="false" customHeight="false" outlineLevel="0" collapsed="false">
      <c r="A446" s="13" t="s">
        <v>66</v>
      </c>
      <c r="B446" s="13" t="s">
        <v>67</v>
      </c>
      <c r="C446" s="13" t="s">
        <v>135</v>
      </c>
      <c r="D446" s="13" t="s">
        <v>69</v>
      </c>
      <c r="E446" s="13" t="s">
        <v>51</v>
      </c>
      <c r="F446" s="14" t="n">
        <v>66816</v>
      </c>
      <c r="G446" s="14" t="n">
        <v>67855</v>
      </c>
      <c r="H446" s="13" t="s">
        <v>52</v>
      </c>
      <c r="I446" s="14" t="n">
        <v>80821</v>
      </c>
      <c r="J446" s="14" t="n">
        <v>9</v>
      </c>
      <c r="K446" s="14"/>
      <c r="L446" s="14"/>
      <c r="M446" s="14"/>
      <c r="N446" s="14"/>
      <c r="O446" s="15"/>
      <c r="P446" s="13" t="s">
        <v>135</v>
      </c>
      <c r="Q446" s="13" t="s">
        <v>135</v>
      </c>
      <c r="R446" s="13" t="str">
        <f aca="false">TRIM(LEFT(A446,FIND("/",A446)-1))</f>
        <v>Awareness</v>
      </c>
      <c r="S446" s="13" t="str">
        <f aca="false">LEFT(C446,7)</f>
        <v>2026-09</v>
      </c>
    </row>
    <row r="447" customFormat="false" ht="15" hidden="false" customHeight="false" outlineLevel="0" collapsed="false">
      <c r="A447" s="13" t="s">
        <v>66</v>
      </c>
      <c r="B447" s="13" t="s">
        <v>70</v>
      </c>
      <c r="C447" s="13" t="s">
        <v>135</v>
      </c>
      <c r="D447" s="13" t="s">
        <v>69</v>
      </c>
      <c r="E447" s="13" t="s">
        <v>51</v>
      </c>
      <c r="F447" s="14" t="n">
        <v>54505</v>
      </c>
      <c r="G447" s="14" t="n">
        <v>54505</v>
      </c>
      <c r="H447" s="13" t="s">
        <v>52</v>
      </c>
      <c r="I447" s="14" t="n">
        <v>63887</v>
      </c>
      <c r="J447" s="14" t="n">
        <v>16</v>
      </c>
      <c r="K447" s="14"/>
      <c r="L447" s="14"/>
      <c r="M447" s="14"/>
      <c r="N447" s="14"/>
      <c r="O447" s="15"/>
      <c r="P447" s="13" t="s">
        <v>135</v>
      </c>
      <c r="Q447" s="13" t="s">
        <v>135</v>
      </c>
      <c r="R447" s="13" t="str">
        <f aca="false">TRIM(LEFT(A447,FIND("/",A447)-1))</f>
        <v>Awareness</v>
      </c>
      <c r="S447" s="13" t="str">
        <f aca="false">LEFT(C447,7)</f>
        <v>2026-09</v>
      </c>
    </row>
    <row r="448" customFormat="false" ht="15" hidden="false" customHeight="false" outlineLevel="0" collapsed="false">
      <c r="A448" s="13" t="s">
        <v>66</v>
      </c>
      <c r="B448" s="13" t="s">
        <v>71</v>
      </c>
      <c r="C448" s="13" t="s">
        <v>135</v>
      </c>
      <c r="D448" s="13" t="s">
        <v>69</v>
      </c>
      <c r="E448" s="13" t="s">
        <v>51</v>
      </c>
      <c r="F448" s="14" t="n">
        <v>16733</v>
      </c>
      <c r="G448" s="14" t="n">
        <v>16733</v>
      </c>
      <c r="H448" s="13" t="s">
        <v>52</v>
      </c>
      <c r="I448" s="14" t="n">
        <v>19877</v>
      </c>
      <c r="J448" s="14" t="n">
        <v>5</v>
      </c>
      <c r="K448" s="14"/>
      <c r="L448" s="14"/>
      <c r="M448" s="14"/>
      <c r="N448" s="14"/>
      <c r="O448" s="15"/>
      <c r="P448" s="13" t="s">
        <v>135</v>
      </c>
      <c r="Q448" s="13" t="s">
        <v>135</v>
      </c>
      <c r="R448" s="13" t="str">
        <f aca="false">TRIM(LEFT(A448,FIND("/",A448)-1))</f>
        <v>Awareness</v>
      </c>
      <c r="S448" s="13" t="str">
        <f aca="false">LEFT(C448,7)</f>
        <v>2026-09</v>
      </c>
    </row>
    <row r="449" customFormat="false" ht="15" hidden="false" customHeight="false" outlineLevel="0" collapsed="false">
      <c r="A449" s="13" t="s">
        <v>73</v>
      </c>
      <c r="B449" s="13" t="s">
        <v>74</v>
      </c>
      <c r="C449" s="13" t="s">
        <v>135</v>
      </c>
      <c r="D449" s="13" t="s">
        <v>69</v>
      </c>
      <c r="E449" s="13" t="s">
        <v>51</v>
      </c>
      <c r="F449" s="14" t="n">
        <v>7658</v>
      </c>
      <c r="G449" s="14" t="n">
        <v>9214</v>
      </c>
      <c r="H449" s="13" t="s">
        <v>52</v>
      </c>
      <c r="I449" s="14" t="n">
        <v>217704</v>
      </c>
      <c r="J449" s="14" t="n">
        <v>160</v>
      </c>
      <c r="K449" s="14" t="n">
        <v>2</v>
      </c>
      <c r="L449" s="14" t="n">
        <v>277772</v>
      </c>
      <c r="M449" s="14" t="n">
        <v>15</v>
      </c>
      <c r="N449" s="14" t="n">
        <v>2307586</v>
      </c>
      <c r="O449" s="15" t="n">
        <v>1.27591592</v>
      </c>
      <c r="P449" s="13" t="s">
        <v>135</v>
      </c>
      <c r="Q449" s="13" t="s">
        <v>135</v>
      </c>
      <c r="R449" s="13" t="str">
        <f aca="false">TRIM(LEFT(A449,FIND("/",A449)-1))</f>
        <v>Sales</v>
      </c>
      <c r="S449" s="13" t="str">
        <f aca="false">LEFT(C449,7)</f>
        <v>2026-09</v>
      </c>
    </row>
    <row r="450" customFormat="false" ht="15" hidden="false" customHeight="false" outlineLevel="0" collapsed="false">
      <c r="A450" s="13" t="s">
        <v>75</v>
      </c>
      <c r="B450" s="13" t="s">
        <v>76</v>
      </c>
      <c r="C450" s="13" t="s">
        <v>135</v>
      </c>
      <c r="D450" s="13" t="s">
        <v>69</v>
      </c>
      <c r="E450" s="13" t="s">
        <v>51</v>
      </c>
      <c r="F450" s="14" t="n">
        <v>103663</v>
      </c>
      <c r="G450" s="14" t="n">
        <v>117307</v>
      </c>
      <c r="H450" s="13" t="s">
        <v>52</v>
      </c>
      <c r="I450" s="14" t="n">
        <v>252204</v>
      </c>
      <c r="J450" s="14" t="n">
        <v>1951</v>
      </c>
      <c r="K450" s="14"/>
      <c r="L450" s="14"/>
      <c r="M450" s="14" t="n">
        <v>5</v>
      </c>
      <c r="N450" s="14" t="n">
        <v>857680</v>
      </c>
      <c r="O450" s="15"/>
      <c r="P450" s="13" t="s">
        <v>135</v>
      </c>
      <c r="Q450" s="13" t="s">
        <v>135</v>
      </c>
      <c r="R450" s="13" t="str">
        <f aca="false">TRIM(LEFT(A450,FIND("/",A450)-1))</f>
        <v>Traffic</v>
      </c>
      <c r="S450" s="13" t="str">
        <f aca="false">LEFT(C450,7)</f>
        <v>2026-09</v>
      </c>
    </row>
    <row r="451" customFormat="false" ht="15" hidden="false" customHeight="false" outlineLevel="0" collapsed="false">
      <c r="A451" s="13" t="s">
        <v>75</v>
      </c>
      <c r="B451" s="13" t="s">
        <v>77</v>
      </c>
      <c r="C451" s="13" t="s">
        <v>135</v>
      </c>
      <c r="D451" s="13" t="s">
        <v>69</v>
      </c>
      <c r="E451" s="13" t="s">
        <v>51</v>
      </c>
      <c r="F451" s="14" t="n">
        <v>1951</v>
      </c>
      <c r="G451" s="14" t="n">
        <v>2078</v>
      </c>
      <c r="H451" s="13" t="s">
        <v>52</v>
      </c>
      <c r="I451" s="14" t="n">
        <v>6029</v>
      </c>
      <c r="J451" s="14" t="n">
        <v>62</v>
      </c>
      <c r="K451" s="14"/>
      <c r="L451" s="14"/>
      <c r="M451" s="14"/>
      <c r="N451" s="14"/>
      <c r="O451" s="15"/>
      <c r="P451" s="13" t="s">
        <v>135</v>
      </c>
      <c r="Q451" s="13" t="s">
        <v>135</v>
      </c>
      <c r="R451" s="13" t="str">
        <f aca="false">TRIM(LEFT(A451,FIND("/",A451)-1))</f>
        <v>Traffic</v>
      </c>
      <c r="S451" s="13" t="str">
        <f aca="false">LEFT(C451,7)</f>
        <v>2026-09</v>
      </c>
    </row>
    <row r="452" customFormat="false" ht="15" hidden="false" customHeight="false" outlineLevel="0" collapsed="false">
      <c r="A452" s="13" t="s">
        <v>75</v>
      </c>
      <c r="B452" s="13" t="s">
        <v>79</v>
      </c>
      <c r="C452" s="13" t="s">
        <v>135</v>
      </c>
      <c r="D452" s="13" t="s">
        <v>69</v>
      </c>
      <c r="E452" s="13" t="s">
        <v>51</v>
      </c>
      <c r="F452" s="14" t="n">
        <v>13278</v>
      </c>
      <c r="G452" s="14" t="n">
        <v>14039</v>
      </c>
      <c r="H452" s="13" t="s">
        <v>52</v>
      </c>
      <c r="I452" s="14" t="n">
        <v>33381</v>
      </c>
      <c r="J452" s="14" t="n">
        <v>250</v>
      </c>
      <c r="K452" s="14"/>
      <c r="L452" s="14"/>
      <c r="M452" s="14"/>
      <c r="N452" s="14"/>
      <c r="O452" s="15"/>
      <c r="P452" s="13" t="s">
        <v>135</v>
      </c>
      <c r="Q452" s="13" t="s">
        <v>135</v>
      </c>
      <c r="R452" s="13" t="str">
        <f aca="false">TRIM(LEFT(A452,FIND("/",A452)-1))</f>
        <v>Traffic</v>
      </c>
      <c r="S452" s="13" t="str">
        <f aca="false">LEFT(C452,7)</f>
        <v>2026-09</v>
      </c>
    </row>
    <row r="453" customFormat="false" ht="15" hidden="false" customHeight="false" outlineLevel="0" collapsed="false">
      <c r="A453" s="13" t="s">
        <v>66</v>
      </c>
      <c r="B453" s="13" t="s">
        <v>67</v>
      </c>
      <c r="C453" s="13" t="s">
        <v>136</v>
      </c>
      <c r="D453" s="13" t="s">
        <v>69</v>
      </c>
      <c r="E453" s="13" t="s">
        <v>51</v>
      </c>
      <c r="F453" s="14" t="n">
        <v>54108</v>
      </c>
      <c r="G453" s="14" t="n">
        <v>54108</v>
      </c>
      <c r="H453" s="13" t="s">
        <v>52</v>
      </c>
      <c r="I453" s="14" t="n">
        <v>64256</v>
      </c>
      <c r="J453" s="14" t="n">
        <v>7</v>
      </c>
      <c r="K453" s="14"/>
      <c r="L453" s="14"/>
      <c r="M453" s="14"/>
      <c r="N453" s="14"/>
      <c r="O453" s="15"/>
      <c r="P453" s="13" t="s">
        <v>136</v>
      </c>
      <c r="Q453" s="13" t="s">
        <v>136</v>
      </c>
      <c r="R453" s="13" t="str">
        <f aca="false">TRIM(LEFT(A453,FIND("/",A453)-1))</f>
        <v>Awareness</v>
      </c>
      <c r="S453" s="13" t="str">
        <f aca="false">LEFT(C453,7)</f>
        <v>2026-09</v>
      </c>
    </row>
    <row r="454" customFormat="false" ht="15" hidden="false" customHeight="false" outlineLevel="0" collapsed="false">
      <c r="A454" s="13" t="s">
        <v>66</v>
      </c>
      <c r="B454" s="13" t="s">
        <v>70</v>
      </c>
      <c r="C454" s="13" t="s">
        <v>136</v>
      </c>
      <c r="D454" s="13" t="s">
        <v>69</v>
      </c>
      <c r="E454" s="13" t="s">
        <v>51</v>
      </c>
      <c r="F454" s="14" t="n">
        <v>53331</v>
      </c>
      <c r="G454" s="14" t="n">
        <v>53331</v>
      </c>
      <c r="H454" s="13" t="s">
        <v>52</v>
      </c>
      <c r="I454" s="14" t="n">
        <v>62575</v>
      </c>
      <c r="J454" s="14" t="n">
        <v>8</v>
      </c>
      <c r="K454" s="14"/>
      <c r="L454" s="14"/>
      <c r="M454" s="14"/>
      <c r="N454" s="14"/>
      <c r="O454" s="15"/>
      <c r="P454" s="13" t="s">
        <v>136</v>
      </c>
      <c r="Q454" s="13" t="s">
        <v>136</v>
      </c>
      <c r="R454" s="13" t="str">
        <f aca="false">TRIM(LEFT(A454,FIND("/",A454)-1))</f>
        <v>Awareness</v>
      </c>
      <c r="S454" s="13" t="str">
        <f aca="false">LEFT(C454,7)</f>
        <v>2026-09</v>
      </c>
    </row>
    <row r="455" customFormat="false" ht="15" hidden="false" customHeight="false" outlineLevel="0" collapsed="false">
      <c r="A455" s="13" t="s">
        <v>66</v>
      </c>
      <c r="B455" s="13" t="s">
        <v>71</v>
      </c>
      <c r="C455" s="13" t="s">
        <v>136</v>
      </c>
      <c r="D455" s="13" t="s">
        <v>69</v>
      </c>
      <c r="E455" s="13" t="s">
        <v>51</v>
      </c>
      <c r="F455" s="14" t="n">
        <v>5030</v>
      </c>
      <c r="G455" s="14" t="n">
        <v>5063</v>
      </c>
      <c r="H455" s="13" t="s">
        <v>52</v>
      </c>
      <c r="I455" s="14" t="n">
        <v>6032</v>
      </c>
      <c r="J455" s="14" t="n">
        <v>2</v>
      </c>
      <c r="K455" s="14"/>
      <c r="L455" s="14"/>
      <c r="M455" s="14"/>
      <c r="N455" s="14"/>
      <c r="O455" s="15"/>
      <c r="P455" s="13" t="s">
        <v>136</v>
      </c>
      <c r="Q455" s="13" t="s">
        <v>136</v>
      </c>
      <c r="R455" s="13" t="str">
        <f aca="false">TRIM(LEFT(A455,FIND("/",A455)-1))</f>
        <v>Awareness</v>
      </c>
      <c r="S455" s="13" t="str">
        <f aca="false">LEFT(C455,7)</f>
        <v>2026-09</v>
      </c>
    </row>
    <row r="456" customFormat="false" ht="15" hidden="false" customHeight="false" outlineLevel="0" collapsed="false">
      <c r="A456" s="13" t="s">
        <v>73</v>
      </c>
      <c r="B456" s="13" t="s">
        <v>74</v>
      </c>
      <c r="C456" s="13" t="s">
        <v>136</v>
      </c>
      <c r="D456" s="13" t="s">
        <v>69</v>
      </c>
      <c r="E456" s="13" t="s">
        <v>51</v>
      </c>
      <c r="F456" s="14" t="n">
        <v>7782</v>
      </c>
      <c r="G456" s="14" t="n">
        <v>8916</v>
      </c>
      <c r="H456" s="13" t="s">
        <v>52</v>
      </c>
      <c r="I456" s="14" t="n">
        <v>194729</v>
      </c>
      <c r="J456" s="14" t="n">
        <v>244</v>
      </c>
      <c r="K456" s="14" t="n">
        <v>3</v>
      </c>
      <c r="L456" s="14" t="n">
        <v>578407</v>
      </c>
      <c r="M456" s="14" t="n">
        <v>17</v>
      </c>
      <c r="N456" s="14" t="n">
        <v>2711521</v>
      </c>
      <c r="O456" s="15" t="n">
        <v>2.97031772</v>
      </c>
      <c r="P456" s="13" t="s">
        <v>136</v>
      </c>
      <c r="Q456" s="13" t="s">
        <v>136</v>
      </c>
      <c r="R456" s="13" t="str">
        <f aca="false">TRIM(LEFT(A456,FIND("/",A456)-1))</f>
        <v>Sales</v>
      </c>
      <c r="S456" s="13" t="str">
        <f aca="false">LEFT(C456,7)</f>
        <v>2026-09</v>
      </c>
    </row>
    <row r="457" customFormat="false" ht="15" hidden="false" customHeight="false" outlineLevel="0" collapsed="false">
      <c r="A457" s="13" t="s">
        <v>75</v>
      </c>
      <c r="B457" s="13" t="s">
        <v>76</v>
      </c>
      <c r="C457" s="13" t="s">
        <v>136</v>
      </c>
      <c r="D457" s="13" t="s">
        <v>69</v>
      </c>
      <c r="E457" s="13" t="s">
        <v>51</v>
      </c>
      <c r="F457" s="14" t="n">
        <v>95505</v>
      </c>
      <c r="G457" s="14" t="n">
        <v>113238</v>
      </c>
      <c r="H457" s="13" t="s">
        <v>52</v>
      </c>
      <c r="I457" s="14" t="n">
        <v>239385</v>
      </c>
      <c r="J457" s="14" t="n">
        <v>1815</v>
      </c>
      <c r="K457" s="14"/>
      <c r="L457" s="14"/>
      <c r="M457" s="14" t="n">
        <v>6</v>
      </c>
      <c r="N457" s="14" t="n">
        <v>961511</v>
      </c>
      <c r="O457" s="15"/>
      <c r="P457" s="13" t="s">
        <v>136</v>
      </c>
      <c r="Q457" s="13" t="s">
        <v>136</v>
      </c>
      <c r="R457" s="13" t="str">
        <f aca="false">TRIM(LEFT(A457,FIND("/",A457)-1))</f>
        <v>Traffic</v>
      </c>
      <c r="S457" s="13" t="str">
        <f aca="false">LEFT(C457,7)</f>
        <v>2026-09</v>
      </c>
    </row>
    <row r="458" customFormat="false" ht="15" hidden="false" customHeight="false" outlineLevel="0" collapsed="false">
      <c r="A458" s="13" t="s">
        <v>75</v>
      </c>
      <c r="B458" s="13" t="s">
        <v>77</v>
      </c>
      <c r="C458" s="13" t="s">
        <v>136</v>
      </c>
      <c r="D458" s="13" t="s">
        <v>69</v>
      </c>
      <c r="E458" s="13" t="s">
        <v>51</v>
      </c>
      <c r="F458" s="14" t="n">
        <v>1288</v>
      </c>
      <c r="G458" s="14" t="n">
        <v>1332</v>
      </c>
      <c r="H458" s="13" t="s">
        <v>52</v>
      </c>
      <c r="I458" s="14" t="n">
        <v>2879</v>
      </c>
      <c r="J458" s="14" t="n">
        <v>20</v>
      </c>
      <c r="K458" s="14"/>
      <c r="L458" s="14"/>
      <c r="M458" s="14"/>
      <c r="N458" s="14"/>
      <c r="O458" s="15"/>
      <c r="P458" s="13" t="s">
        <v>136</v>
      </c>
      <c r="Q458" s="13" t="s">
        <v>136</v>
      </c>
      <c r="R458" s="13" t="str">
        <f aca="false">TRIM(LEFT(A458,FIND("/",A458)-1))</f>
        <v>Traffic</v>
      </c>
      <c r="S458" s="13" t="str">
        <f aca="false">LEFT(C458,7)</f>
        <v>2026-09</v>
      </c>
    </row>
    <row r="459" customFormat="false" ht="15" hidden="false" customHeight="false" outlineLevel="0" collapsed="false">
      <c r="A459" s="13" t="s">
        <v>75</v>
      </c>
      <c r="B459" s="13" t="s">
        <v>79</v>
      </c>
      <c r="C459" s="13" t="s">
        <v>136</v>
      </c>
      <c r="D459" s="13" t="s">
        <v>69</v>
      </c>
      <c r="E459" s="13" t="s">
        <v>51</v>
      </c>
      <c r="F459" s="14" t="n">
        <v>18269</v>
      </c>
      <c r="G459" s="14" t="n">
        <v>19794</v>
      </c>
      <c r="H459" s="13" t="s">
        <v>52</v>
      </c>
      <c r="I459" s="14" t="n">
        <v>43182</v>
      </c>
      <c r="J459" s="14" t="n">
        <v>388</v>
      </c>
      <c r="K459" s="14"/>
      <c r="L459" s="14"/>
      <c r="M459" s="14" t="n">
        <v>1</v>
      </c>
      <c r="N459" s="14" t="n">
        <v>132986</v>
      </c>
      <c r="O459" s="15"/>
      <c r="P459" s="13" t="s">
        <v>136</v>
      </c>
      <c r="Q459" s="13" t="s">
        <v>136</v>
      </c>
      <c r="R459" s="13" t="str">
        <f aca="false">TRIM(LEFT(A459,FIND("/",A459)-1))</f>
        <v>Traffic</v>
      </c>
      <c r="S459" s="13" t="str">
        <f aca="false">LEFT(C459,7)</f>
        <v>2026-09</v>
      </c>
    </row>
  </sheetData>
  <autoFilter ref="A1:S459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2"/>
    <col collapsed="false" customWidth="true" hidden="false" outlineLevel="0" max="4" min="3" style="0" width="11"/>
    <col collapsed="false" customWidth="true" hidden="false" outlineLevel="0" max="5" min="5" style="0" width="10"/>
    <col collapsed="false" customWidth="true" hidden="false" outlineLevel="0" max="6" min="6" style="0" width="16"/>
    <col collapsed="false" customWidth="true" hidden="false" outlineLevel="0" max="8" min="7" style="0" width="12"/>
    <col collapsed="false" customWidth="true" hidden="false" outlineLevel="0" max="9" min="9" style="0" width="13"/>
    <col collapsed="false" customWidth="true" hidden="false" outlineLevel="0" max="10" min="10" style="0" width="11"/>
    <col collapsed="false" customWidth="true" hidden="false" outlineLevel="0" max="11" min="11" style="0" width="10"/>
    <col collapsed="false" customWidth="true" hidden="false" outlineLevel="0" max="12" min="12" style="0" width="16"/>
    <col collapsed="false" customWidth="true" hidden="false" outlineLevel="0" max="13" min="13" style="0" width="10"/>
    <col collapsed="false" customWidth="true" hidden="false" outlineLevel="0" max="14" min="14" style="0" width="12"/>
    <col collapsed="false" customWidth="true" hidden="false" outlineLevel="0" max="15" min="15" style="0" width="13"/>
    <col collapsed="false" customWidth="true" hidden="false" outlineLevel="0" max="17" min="16" style="0" width="14"/>
    <col collapsed="false" customWidth="true" hidden="false" outlineLevel="0" max="18" min="18" style="0" width="9"/>
  </cols>
  <sheetData>
    <row r="1" customFormat="false" ht="17.35" hidden="false" customHeight="false" outlineLevel="0" collapsed="false">
      <c r="A1" s="16" t="s">
        <v>137</v>
      </c>
    </row>
    <row r="2" customFormat="false" ht="15" hidden="false" customHeight="false" outlineLevel="0" collapsed="false">
      <c r="A2" s="2" t="s">
        <v>138</v>
      </c>
    </row>
    <row r="4" customFormat="false" ht="31.5" hidden="false" customHeight="true" outlineLevel="0" collapsed="false">
      <c r="A4" s="12" t="s">
        <v>45</v>
      </c>
      <c r="B4" s="12" t="s">
        <v>29</v>
      </c>
      <c r="C4" s="12" t="s">
        <v>139</v>
      </c>
      <c r="D4" s="12" t="s">
        <v>140</v>
      </c>
      <c r="E4" s="12" t="s">
        <v>141</v>
      </c>
      <c r="F4" s="12" t="s">
        <v>142</v>
      </c>
      <c r="G4" s="12" t="s">
        <v>34</v>
      </c>
      <c r="H4" s="12" t="s">
        <v>35</v>
      </c>
      <c r="I4" s="12" t="s">
        <v>20</v>
      </c>
      <c r="J4" s="12" t="s">
        <v>21</v>
      </c>
      <c r="K4" s="12" t="s">
        <v>143</v>
      </c>
      <c r="L4" s="12" t="s">
        <v>144</v>
      </c>
      <c r="M4" s="12" t="s">
        <v>145</v>
      </c>
      <c r="N4" s="12" t="s">
        <v>146</v>
      </c>
      <c r="O4" s="12" t="s">
        <v>147</v>
      </c>
      <c r="P4" s="12" t="s">
        <v>148</v>
      </c>
      <c r="Q4" s="12" t="s">
        <v>149</v>
      </c>
      <c r="R4" s="12" t="s">
        <v>150</v>
      </c>
    </row>
    <row r="5" customFormat="false" ht="15" hidden="false" customHeight="false" outlineLevel="0" collapsed="false">
      <c r="A5" s="6" t="s">
        <v>151</v>
      </c>
      <c r="B5" s="6" t="s">
        <v>47</v>
      </c>
      <c r="C5" s="6" t="s">
        <v>49</v>
      </c>
      <c r="D5" s="6" t="s">
        <v>65</v>
      </c>
      <c r="E5" s="6" t="n">
        <v>12</v>
      </c>
      <c r="F5" s="7" t="n">
        <f aca="false">SUMIFS('Raw Data'!$I:$I,'Raw Data'!$A:$A,$B5)</f>
        <v>3417371</v>
      </c>
      <c r="G5" s="9" t="n">
        <f aca="false">SUMIFS('Raw Data'!$F:$F,'Raw Data'!$A:$A,$B5)</f>
        <v>2831623</v>
      </c>
      <c r="H5" s="9" t="n">
        <f aca="false">SUMIFS('Raw Data'!$G:$G,'Raw Data'!$A:$A,$B5)</f>
        <v>2863453</v>
      </c>
      <c r="I5" s="9" t="n">
        <f aca="false">SUMIFS('Raw Data'!$J:$J,'Raw Data'!$A:$A,$B5)</f>
        <v>0</v>
      </c>
      <c r="J5" s="9" t="n">
        <f aca="false">SUMIFS('Raw Data'!$M:$M,'Raw Data'!$A:$A,$B5)</f>
        <v>0</v>
      </c>
      <c r="K5" s="9" t="n">
        <f aca="false">SUMIFS('Raw Data'!$K:$K,'Raw Data'!$A:$A,$B5)</f>
        <v>0</v>
      </c>
      <c r="L5" s="7" t="n">
        <f aca="false">SUMIFS('Raw Data'!$L:$L,'Raw Data'!$A:$A,$B5)</f>
        <v>0</v>
      </c>
      <c r="M5" s="8" t="n">
        <f aca="false">IFERROR(F5/$F$10,0)</f>
        <v>0.0797738776313797</v>
      </c>
      <c r="N5" s="7" t="n">
        <f aca="false">IFERROR(F5/H5*1000,0)</f>
        <v>1193.44406910119</v>
      </c>
      <c r="O5" s="7" t="n">
        <f aca="false">IFERROR(F5/I5,0)</f>
        <v>0</v>
      </c>
      <c r="P5" s="7" t="n">
        <f aca="false">IFERROR(F5/J5,0)</f>
        <v>0</v>
      </c>
      <c r="Q5" s="7" t="n">
        <f aca="false">IFERROR(F5/K5,0)</f>
        <v>0</v>
      </c>
      <c r="R5" s="10" t="n">
        <f aca="false">IFERROR(L5/F5,0)</f>
        <v>0</v>
      </c>
    </row>
    <row r="6" customFormat="false" ht="15" hidden="false" customHeight="false" outlineLevel="0" collapsed="false">
      <c r="A6" s="6" t="s">
        <v>151</v>
      </c>
      <c r="B6" s="6" t="s">
        <v>66</v>
      </c>
      <c r="C6" s="6" t="s">
        <v>68</v>
      </c>
      <c r="D6" s="6" t="s">
        <v>136</v>
      </c>
      <c r="E6" s="6" t="n">
        <v>55</v>
      </c>
      <c r="F6" s="7" t="n">
        <f aca="false">SUMIFS('Raw Data'!$I:$I,'Raw Data'!$A:$A,$B6)</f>
        <v>9881004</v>
      </c>
      <c r="G6" s="9" t="n">
        <f aca="false">SUMIFS('Raw Data'!$F:$F,'Raw Data'!$A:$A,$B6)</f>
        <v>7637296</v>
      </c>
      <c r="H6" s="9" t="n">
        <f aca="false">SUMIFS('Raw Data'!$G:$G,'Raw Data'!$A:$A,$B6)</f>
        <v>7697821</v>
      </c>
      <c r="I6" s="9" t="n">
        <f aca="false">SUMIFS('Raw Data'!$J:$J,'Raw Data'!$A:$A,$B6)</f>
        <v>1396</v>
      </c>
      <c r="J6" s="9" t="n">
        <f aca="false">SUMIFS('Raw Data'!$M:$M,'Raw Data'!$A:$A,$B6)</f>
        <v>6</v>
      </c>
      <c r="K6" s="9" t="n">
        <f aca="false">SUMIFS('Raw Data'!$K:$K,'Raw Data'!$A:$A,$B6)</f>
        <v>0</v>
      </c>
      <c r="L6" s="7" t="n">
        <f aca="false">SUMIFS('Raw Data'!$L:$L,'Raw Data'!$A:$A,$B6)</f>
        <v>0</v>
      </c>
      <c r="M6" s="8" t="n">
        <f aca="false">IFERROR(F6/$F$10,0)</f>
        <v>0.230658598077637</v>
      </c>
      <c r="N6" s="7" t="n">
        <f aca="false">IFERROR(F6/H6*1000,0)</f>
        <v>1283.61051783355</v>
      </c>
      <c r="O6" s="7" t="n">
        <f aca="false">IFERROR(F6/I6,0)</f>
        <v>7078.08309455587</v>
      </c>
      <c r="P6" s="7" t="n">
        <f aca="false">IFERROR(F6/J6,0)</f>
        <v>1646834</v>
      </c>
      <c r="Q6" s="7" t="n">
        <f aca="false">IFERROR(F6/K6,0)</f>
        <v>0</v>
      </c>
      <c r="R6" s="10" t="n">
        <f aca="false">IFERROR(L6/F6,0)</f>
        <v>0</v>
      </c>
    </row>
    <row r="7" customFormat="false" ht="15" hidden="false" customHeight="false" outlineLevel="0" collapsed="false">
      <c r="A7" s="6" t="s">
        <v>152</v>
      </c>
      <c r="B7" s="6" t="s">
        <v>75</v>
      </c>
      <c r="C7" s="6" t="s">
        <v>72</v>
      </c>
      <c r="D7" s="6" t="s">
        <v>136</v>
      </c>
      <c r="E7" s="6" t="n">
        <v>54</v>
      </c>
      <c r="F7" s="7" t="n">
        <f aca="false">SUMIFS('Raw Data'!$I:$I,'Raw Data'!$A:$A,$B7)</f>
        <v>16151104</v>
      </c>
      <c r="G7" s="9" t="n">
        <f aca="false">SUMIFS('Raw Data'!$F:$F,'Raw Data'!$A:$A,$B7)</f>
        <v>4757233</v>
      </c>
      <c r="H7" s="9" t="n">
        <f aca="false">SUMIFS('Raw Data'!$G:$G,'Raw Data'!$A:$A,$B7)</f>
        <v>5774068</v>
      </c>
      <c r="I7" s="9" t="n">
        <f aca="false">SUMIFS('Raw Data'!$J:$J,'Raw Data'!$A:$A,$B7)</f>
        <v>118907</v>
      </c>
      <c r="J7" s="9" t="n">
        <f aca="false">SUMIFS('Raw Data'!$M:$M,'Raw Data'!$A:$A,$B7)</f>
        <v>332</v>
      </c>
      <c r="K7" s="9" t="n">
        <f aca="false">SUMIFS('Raw Data'!$K:$K,'Raw Data'!$A:$A,$B7)</f>
        <v>3</v>
      </c>
      <c r="L7" s="7" t="n">
        <f aca="false">SUMIFS('Raw Data'!$L:$L,'Raw Data'!$A:$A,$B7)</f>
        <v>537141</v>
      </c>
      <c r="M7" s="8" t="n">
        <f aca="false">IFERROR(F7/$F$10,0)</f>
        <v>0.377025553885629</v>
      </c>
      <c r="N7" s="7" t="n">
        <f aca="false">IFERROR(F7/H7*1000,0)</f>
        <v>2797.17938895074</v>
      </c>
      <c r="O7" s="7" t="n">
        <f aca="false">IFERROR(F7/I7,0)</f>
        <v>135.829715660138</v>
      </c>
      <c r="P7" s="7" t="n">
        <f aca="false">IFERROR(F7/J7,0)</f>
        <v>48647.9036144578</v>
      </c>
      <c r="Q7" s="7" t="n">
        <f aca="false">IFERROR(F7/K7,0)</f>
        <v>5383701.33333333</v>
      </c>
      <c r="R7" s="10" t="n">
        <f aca="false">IFERROR(L7/F7,0)</f>
        <v>0.0332572312084672</v>
      </c>
    </row>
    <row r="8" customFormat="false" ht="15" hidden="false" customHeight="false" outlineLevel="0" collapsed="false">
      <c r="A8" s="6" t="s">
        <v>153</v>
      </c>
      <c r="B8" s="6" t="s">
        <v>73</v>
      </c>
      <c r="C8" s="6" t="s">
        <v>72</v>
      </c>
      <c r="D8" s="6" t="s">
        <v>136</v>
      </c>
      <c r="E8" s="6" t="n">
        <v>54</v>
      </c>
      <c r="F8" s="7" t="n">
        <f aca="false">SUMIFS('Raw Data'!$I:$I,'Raw Data'!$A:$A,$B8)</f>
        <v>10666202</v>
      </c>
      <c r="G8" s="9" t="n">
        <f aca="false">SUMIFS('Raw Data'!$F:$F,'Raw Data'!$A:$A,$B8)</f>
        <v>499852</v>
      </c>
      <c r="H8" s="9" t="n">
        <f aca="false">SUMIFS('Raw Data'!$G:$G,'Raw Data'!$A:$A,$B8)</f>
        <v>583832</v>
      </c>
      <c r="I8" s="9" t="n">
        <f aca="false">SUMIFS('Raw Data'!$J:$J,'Raw Data'!$A:$A,$B8)</f>
        <v>13399</v>
      </c>
      <c r="J8" s="9" t="n">
        <f aca="false">SUMIFS('Raw Data'!$M:$M,'Raw Data'!$A:$A,$B8)</f>
        <v>1374</v>
      </c>
      <c r="K8" s="9" t="n">
        <f aca="false">SUMIFS('Raw Data'!$K:$K,'Raw Data'!$A:$A,$B8)</f>
        <v>116</v>
      </c>
      <c r="L8" s="7" t="n">
        <f aca="false">SUMIFS('Raw Data'!$L:$L,'Raw Data'!$A:$A,$B8)</f>
        <v>21756098</v>
      </c>
      <c r="M8" s="8" t="n">
        <f aca="false">IFERROR(F8/$F$10,0)</f>
        <v>0.248987977348546</v>
      </c>
      <c r="N8" s="7" t="n">
        <f aca="false">IFERROR(F8/H8*1000,0)</f>
        <v>18269.3000726236</v>
      </c>
      <c r="O8" s="7" t="n">
        <f aca="false">IFERROR(F8/I8,0)</f>
        <v>796.044630196283</v>
      </c>
      <c r="P8" s="7" t="n">
        <f aca="false">IFERROR(F8/J8,0)</f>
        <v>7762.88355167395</v>
      </c>
      <c r="Q8" s="7" t="n">
        <f aca="false">IFERROR(F8/K8,0)</f>
        <v>91950.0172413793</v>
      </c>
      <c r="R8" s="10" t="n">
        <f aca="false">IFERROR(L8/F8,0)</f>
        <v>2.03972304293506</v>
      </c>
    </row>
    <row r="9" customFormat="false" ht="15" hidden="false" customHeight="false" outlineLevel="0" collapsed="false">
      <c r="A9" s="6" t="s">
        <v>153</v>
      </c>
      <c r="B9" s="6" t="s">
        <v>93</v>
      </c>
      <c r="C9" s="6" t="s">
        <v>92</v>
      </c>
      <c r="D9" s="6" t="s">
        <v>115</v>
      </c>
      <c r="E9" s="6" t="n">
        <v>19</v>
      </c>
      <c r="F9" s="7" t="n">
        <f aca="false">SUMIFS('Raw Data'!$I:$I,'Raw Data'!$A:$A,$B9)</f>
        <v>2722540</v>
      </c>
      <c r="G9" s="9" t="n">
        <f aca="false">SUMIFS('Raw Data'!$F:$F,'Raw Data'!$A:$A,$B9)</f>
        <v>98353</v>
      </c>
      <c r="H9" s="9" t="n">
        <f aca="false">SUMIFS('Raw Data'!$G:$G,'Raw Data'!$A:$A,$B9)</f>
        <v>167525</v>
      </c>
      <c r="I9" s="9" t="n">
        <f aca="false">SUMIFS('Raw Data'!$J:$J,'Raw Data'!$A:$A,$B9)</f>
        <v>2274</v>
      </c>
      <c r="J9" s="9" t="n">
        <f aca="false">SUMIFS('Raw Data'!$M:$M,'Raw Data'!$A:$A,$B9)</f>
        <v>125</v>
      </c>
      <c r="K9" s="9" t="n">
        <f aca="false">SUMIFS('Raw Data'!$K:$K,'Raw Data'!$A:$A,$B9)</f>
        <v>5</v>
      </c>
      <c r="L9" s="7" t="n">
        <f aca="false">SUMIFS('Raw Data'!$L:$L,'Raw Data'!$A:$A,$B9)</f>
        <v>983051</v>
      </c>
      <c r="M9" s="8" t="n">
        <f aca="false">IFERROR(F9/$F$10,0)</f>
        <v>0.0635539930568078</v>
      </c>
      <c r="N9" s="7" t="n">
        <f aca="false">IFERROR(F9/H9*1000,0)</f>
        <v>16251.5445455902</v>
      </c>
      <c r="O9" s="7" t="n">
        <f aca="false">IFERROR(F9/I9,0)</f>
        <v>1197.2471416007</v>
      </c>
      <c r="P9" s="7" t="n">
        <f aca="false">IFERROR(F9/J9,0)</f>
        <v>21780.32</v>
      </c>
      <c r="Q9" s="7" t="n">
        <f aca="false">IFERROR(F9/K9,0)</f>
        <v>544508</v>
      </c>
      <c r="R9" s="10" t="n">
        <f aca="false">IFERROR(L9/F9,0)</f>
        <v>0.361078625107436</v>
      </c>
    </row>
    <row r="10" customFormat="false" ht="15" hidden="false" customHeight="false" outlineLevel="0" collapsed="false">
      <c r="A10" s="17" t="s">
        <v>154</v>
      </c>
      <c r="B10" s="17" t="s">
        <v>155</v>
      </c>
      <c r="C10" s="17"/>
      <c r="D10" s="17"/>
      <c r="E10" s="17" t="n">
        <f aca="false">SUMPRODUCT(1/COUNTIF('Raw Data'!$C$2:$C$459,'Raw Data'!$C$2:$C$459))</f>
        <v>67</v>
      </c>
      <c r="F10" s="5" t="n">
        <f aca="false">SUM(F5:F9)</f>
        <v>42838221</v>
      </c>
      <c r="G10" s="18" t="n">
        <f aca="false">SUM(G5:G9)</f>
        <v>15824357</v>
      </c>
      <c r="H10" s="18" t="n">
        <f aca="false">SUM(H5:H9)</f>
        <v>17086699</v>
      </c>
      <c r="I10" s="18" t="n">
        <f aca="false">SUM(I5:I9)</f>
        <v>135976</v>
      </c>
      <c r="J10" s="18" t="n">
        <f aca="false">SUM(J5:J9)</f>
        <v>1837</v>
      </c>
      <c r="K10" s="18" t="n">
        <f aca="false">SUM(K5:K9)</f>
        <v>124</v>
      </c>
      <c r="L10" s="5" t="n">
        <f aca="false">SUM(L5:L9)</f>
        <v>23276290</v>
      </c>
      <c r="M10" s="19" t="n">
        <f aca="false">SUM(M5:M9)</f>
        <v>1</v>
      </c>
      <c r="N10" s="5" t="n">
        <f aca="false">IFERROR(F10/H10*1000,0)</f>
        <v>2507.10924327748</v>
      </c>
      <c r="O10" s="5" t="n">
        <f aca="false">IFERROR(F10/I10,0)</f>
        <v>315.042514855563</v>
      </c>
      <c r="P10" s="5" t="n">
        <f aca="false">IFERROR(F10/J10,0)</f>
        <v>23319.6630375612</v>
      </c>
      <c r="Q10" s="5" t="n">
        <f aca="false">IFERROR(F10/K10,0)</f>
        <v>345469.524193548</v>
      </c>
      <c r="R10" s="20" t="n">
        <f aca="false">IFERROR(L10/F10,0)</f>
        <v>0.543353329261736</v>
      </c>
    </row>
    <row r="12" customFormat="false" ht="15" hidden="false" customHeight="false" outlineLevel="0" collapsed="false">
      <c r="A12" s="2" t="s">
        <v>156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4"/>
    <col collapsed="false" customWidth="true" hidden="false" outlineLevel="0" max="3" min="3" style="0" width="32"/>
    <col collapsed="false" customWidth="true" hidden="false" outlineLevel="0" max="4" min="4" style="0" width="16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1"/>
    <col collapsed="false" customWidth="true" hidden="false" outlineLevel="0" max="9" min="9" style="0" width="10"/>
    <col collapsed="false" customWidth="true" hidden="false" outlineLevel="0" max="10" min="10" style="0" width="16"/>
    <col collapsed="false" customWidth="true" hidden="false" outlineLevel="0" max="11" min="11" style="0" width="12"/>
    <col collapsed="false" customWidth="true" hidden="false" outlineLevel="0" max="12" min="12" style="0" width="13"/>
    <col collapsed="false" customWidth="true" hidden="false" outlineLevel="0" max="13" min="13" style="0" width="14"/>
    <col collapsed="false" customWidth="true" hidden="false" outlineLevel="0" max="14" min="14" style="0" width="9"/>
  </cols>
  <sheetData>
    <row r="1" customFormat="false" ht="17.35" hidden="false" customHeight="false" outlineLevel="0" collapsed="false">
      <c r="A1" s="16" t="s">
        <v>157</v>
      </c>
    </row>
    <row r="2" customFormat="false" ht="15" hidden="false" customHeight="false" outlineLevel="0" collapsed="false">
      <c r="A2" s="2" t="s">
        <v>158</v>
      </c>
    </row>
    <row r="4" customFormat="false" ht="31.5" hidden="false" customHeight="true" outlineLevel="0" collapsed="false">
      <c r="A4" s="12" t="s">
        <v>45</v>
      </c>
      <c r="B4" s="12" t="s">
        <v>159</v>
      </c>
      <c r="C4" s="12" t="s">
        <v>160</v>
      </c>
      <c r="D4" s="12" t="s">
        <v>142</v>
      </c>
      <c r="E4" s="12" t="s">
        <v>145</v>
      </c>
      <c r="F4" s="12" t="s">
        <v>34</v>
      </c>
      <c r="G4" s="12" t="s">
        <v>20</v>
      </c>
      <c r="H4" s="12" t="s">
        <v>21</v>
      </c>
      <c r="I4" s="12" t="s">
        <v>143</v>
      </c>
      <c r="J4" s="12" t="s">
        <v>144</v>
      </c>
      <c r="K4" s="12" t="s">
        <v>146</v>
      </c>
      <c r="L4" s="12" t="s">
        <v>147</v>
      </c>
      <c r="M4" s="12" t="s">
        <v>149</v>
      </c>
      <c r="N4" s="12" t="s">
        <v>150</v>
      </c>
    </row>
    <row r="5" customFormat="false" ht="15" hidden="false" customHeight="false" outlineLevel="0" collapsed="false">
      <c r="A5" s="6" t="s">
        <v>151</v>
      </c>
      <c r="B5" s="6" t="s">
        <v>161</v>
      </c>
      <c r="C5" s="6" t="s">
        <v>162</v>
      </c>
      <c r="D5" s="7" t="n">
        <f aca="false">SUMIFS('Raw Data'!$I:$I,'Raw Data'!$R:$R,$A5)</f>
        <v>13298375</v>
      </c>
      <c r="E5" s="8" t="n">
        <f aca="false">IFERROR(D5/$D$8,0)</f>
        <v>0.310432475709017</v>
      </c>
      <c r="F5" s="9" t="n">
        <f aca="false">SUMIFS('Raw Data'!$F:$F,'Raw Data'!$R:$R,$A5)</f>
        <v>10468919</v>
      </c>
      <c r="G5" s="9" t="n">
        <f aca="false">SUMIFS('Raw Data'!$J:$J,'Raw Data'!$R:$R,$A5)</f>
        <v>1396</v>
      </c>
      <c r="H5" s="9" t="n">
        <f aca="false">SUMIFS('Raw Data'!$M:$M,'Raw Data'!$R:$R,$A5)</f>
        <v>6</v>
      </c>
      <c r="I5" s="9" t="n">
        <f aca="false">SUMIFS('Raw Data'!$K:$K,'Raw Data'!$R:$R,$A5)</f>
        <v>0</v>
      </c>
      <c r="J5" s="7" t="n">
        <f aca="false">SUMIFS('Raw Data'!$L:$L,'Raw Data'!$R:$R,$A5)</f>
        <v>0</v>
      </c>
      <c r="K5" s="7" t="n">
        <f aca="false">IFERROR(D5/SUMIFS('Raw Data'!$G:$G,'Raw Data'!$R:$R,$A5)*1000,0)</f>
        <v>1259.16390390023</v>
      </c>
      <c r="L5" s="7" t="n">
        <f aca="false">IFERROR(D5/G5,0)</f>
        <v>9526.05659025788</v>
      </c>
      <c r="M5" s="7" t="n">
        <f aca="false">IFERROR(D5/I5,0)</f>
        <v>0</v>
      </c>
      <c r="N5" s="10" t="n">
        <f aca="false">IFERROR(J5/D5,0)</f>
        <v>0</v>
      </c>
    </row>
    <row r="6" customFormat="false" ht="15" hidden="false" customHeight="false" outlineLevel="0" collapsed="false">
      <c r="A6" s="6" t="s">
        <v>152</v>
      </c>
      <c r="B6" s="6" t="s">
        <v>163</v>
      </c>
      <c r="C6" s="6" t="s">
        <v>164</v>
      </c>
      <c r="D6" s="7" t="n">
        <f aca="false">SUMIFS('Raw Data'!$I:$I,'Raw Data'!$R:$R,$A6)</f>
        <v>16151104</v>
      </c>
      <c r="E6" s="8" t="n">
        <f aca="false">IFERROR(D6/$D$8,0)</f>
        <v>0.377025553885629</v>
      </c>
      <c r="F6" s="9" t="n">
        <f aca="false">SUMIFS('Raw Data'!$F:$F,'Raw Data'!$R:$R,$A6)</f>
        <v>4757233</v>
      </c>
      <c r="G6" s="9" t="n">
        <f aca="false">SUMIFS('Raw Data'!$J:$J,'Raw Data'!$R:$R,$A6)</f>
        <v>118907</v>
      </c>
      <c r="H6" s="9" t="n">
        <f aca="false">SUMIFS('Raw Data'!$M:$M,'Raw Data'!$R:$R,$A6)</f>
        <v>332</v>
      </c>
      <c r="I6" s="9" t="n">
        <f aca="false">SUMIFS('Raw Data'!$K:$K,'Raw Data'!$R:$R,$A6)</f>
        <v>3</v>
      </c>
      <c r="J6" s="7" t="n">
        <f aca="false">SUMIFS('Raw Data'!$L:$L,'Raw Data'!$R:$R,$A6)</f>
        <v>537141</v>
      </c>
      <c r="K6" s="7" t="n">
        <f aca="false">IFERROR(D6/SUMIFS('Raw Data'!$G:$G,'Raw Data'!$R:$R,$A6)*1000,0)</f>
        <v>2797.17938895074</v>
      </c>
      <c r="L6" s="7" t="n">
        <f aca="false">IFERROR(D6/G6,0)</f>
        <v>135.829715660138</v>
      </c>
      <c r="M6" s="7" t="n">
        <f aca="false">IFERROR(D6/I6,0)</f>
        <v>5383701.33333333</v>
      </c>
      <c r="N6" s="10" t="n">
        <f aca="false">IFERROR(J6/D6,0)</f>
        <v>0.0332572312084672</v>
      </c>
    </row>
    <row r="7" customFormat="false" ht="15" hidden="false" customHeight="false" outlineLevel="0" collapsed="false">
      <c r="A7" s="6" t="s">
        <v>153</v>
      </c>
      <c r="B7" s="6" t="s">
        <v>165</v>
      </c>
      <c r="C7" s="6" t="s">
        <v>166</v>
      </c>
      <c r="D7" s="7" t="n">
        <f aca="false">SUMIFS('Raw Data'!$I:$I,'Raw Data'!$R:$R,$A7)</f>
        <v>13388742</v>
      </c>
      <c r="E7" s="8" t="n">
        <f aca="false">IFERROR(D7/$D$8,0)</f>
        <v>0.312541970405354</v>
      </c>
      <c r="F7" s="9" t="n">
        <f aca="false">SUMIFS('Raw Data'!$F:$F,'Raw Data'!$R:$R,$A7)</f>
        <v>598205</v>
      </c>
      <c r="G7" s="9" t="n">
        <f aca="false">SUMIFS('Raw Data'!$J:$J,'Raw Data'!$R:$R,$A7)</f>
        <v>15673</v>
      </c>
      <c r="H7" s="9" t="n">
        <f aca="false">SUMIFS('Raw Data'!$M:$M,'Raw Data'!$R:$R,$A7)</f>
        <v>1499</v>
      </c>
      <c r="I7" s="9" t="n">
        <f aca="false">SUMIFS('Raw Data'!$K:$K,'Raw Data'!$R:$R,$A7)</f>
        <v>121</v>
      </c>
      <c r="J7" s="7" t="n">
        <f aca="false">SUMIFS('Raw Data'!$L:$L,'Raw Data'!$R:$R,$A7)</f>
        <v>22739149</v>
      </c>
      <c r="K7" s="7" t="n">
        <f aca="false">IFERROR(D7/SUMIFS('Raw Data'!$G:$G,'Raw Data'!$R:$R,$A7)*1000,0)</f>
        <v>17819.4147389324</v>
      </c>
      <c r="L7" s="7" t="n">
        <f aca="false">IFERROR(D7/G7,0)</f>
        <v>854.25521597652</v>
      </c>
      <c r="M7" s="7" t="n">
        <f aca="false">IFERROR(D7/I7,0)</f>
        <v>110650.760330579</v>
      </c>
      <c r="N7" s="10" t="n">
        <f aca="false">IFERROR(J7/D7,0)</f>
        <v>1.69837830917946</v>
      </c>
    </row>
    <row r="8" customFormat="false" ht="15" hidden="false" customHeight="false" outlineLevel="0" collapsed="false">
      <c r="A8" s="17" t="s">
        <v>154</v>
      </c>
      <c r="B8" s="17" t="s">
        <v>167</v>
      </c>
      <c r="C8" s="17" t="s">
        <v>168</v>
      </c>
      <c r="D8" s="5" t="n">
        <f aca="false">SUM(D5:D7)</f>
        <v>42838221</v>
      </c>
      <c r="E8" s="19" t="n">
        <f aca="false">SUM(E5:E7)</f>
        <v>1</v>
      </c>
      <c r="F8" s="18" t="n">
        <f aca="false">SUM(F5:F7)</f>
        <v>15824357</v>
      </c>
      <c r="G8" s="18" t="n">
        <f aca="false">SUM(G5:G7)</f>
        <v>135976</v>
      </c>
      <c r="H8" s="18" t="n">
        <f aca="false">SUM(H5:H7)</f>
        <v>1837</v>
      </c>
      <c r="I8" s="18" t="n">
        <f aca="false">SUM(I5:I7)</f>
        <v>124</v>
      </c>
      <c r="J8" s="5" t="n">
        <f aca="false">SUM(J5:J7)</f>
        <v>23276290</v>
      </c>
      <c r="K8" s="5" t="n">
        <f aca="false">IFERROR(D8/SUM('Raw Data'!$G:$G)*1000,0)</f>
        <v>2507.10924327748</v>
      </c>
      <c r="L8" s="5" t="n">
        <f aca="false">IFERROR(D8/G8,0)</f>
        <v>315.042514855563</v>
      </c>
      <c r="M8" s="5" t="n">
        <f aca="false">IFERROR(D8/I8,0)</f>
        <v>345469.524193548</v>
      </c>
      <c r="N8" s="20" t="n">
        <f aca="false">IFERROR(J8/D8,0)</f>
        <v>0.543353329261736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70"/>
    <col collapsed="false" customWidth="true" hidden="false" outlineLevel="0" max="3" min="3" style="0" width="18"/>
    <col collapsed="false" customWidth="true" hidden="false" outlineLevel="0" max="4" min="4" style="0" width="12"/>
    <col collapsed="false" customWidth="true" hidden="false" outlineLevel="0" max="6" min="5" style="0" width="16"/>
    <col collapsed="false" customWidth="true" hidden="false" outlineLevel="0" max="7" min="7" style="0" width="9"/>
    <col collapsed="false" customWidth="true" hidden="false" outlineLevel="0" max="8" min="8" style="0" width="18"/>
    <col collapsed="false" customWidth="true" hidden="false" outlineLevel="0" max="9" min="9" style="0" width="12"/>
  </cols>
  <sheetData>
    <row r="1" customFormat="false" ht="17.35" hidden="false" customHeight="false" outlineLevel="0" collapsed="false">
      <c r="A1" s="16" t="s">
        <v>169</v>
      </c>
    </row>
    <row r="2" customFormat="false" ht="15" hidden="false" customHeight="false" outlineLevel="0" collapsed="false">
      <c r="A2" s="2" t="s">
        <v>170</v>
      </c>
    </row>
    <row r="4" customFormat="false" ht="31.5" hidden="false" customHeight="true" outlineLevel="0" collapsed="false">
      <c r="A4" s="12" t="s">
        <v>171</v>
      </c>
      <c r="B4" s="12" t="s">
        <v>172</v>
      </c>
      <c r="C4" s="12" t="s">
        <v>173</v>
      </c>
      <c r="D4" s="12" t="s">
        <v>174</v>
      </c>
      <c r="E4" s="12" t="s">
        <v>149</v>
      </c>
      <c r="F4" s="12" t="s">
        <v>144</v>
      </c>
      <c r="G4" s="12" t="s">
        <v>150</v>
      </c>
      <c r="H4" s="12" t="s">
        <v>175</v>
      </c>
      <c r="I4" s="12" t="s">
        <v>176</v>
      </c>
    </row>
    <row r="5" customFormat="false" ht="42" hidden="false" customHeight="true" outlineLevel="0" collapsed="false">
      <c r="A5" s="4" t="s">
        <v>177</v>
      </c>
      <c r="B5" s="21" t="s">
        <v>178</v>
      </c>
      <c r="C5" s="7" t="n">
        <f aca="false">'Objective Summary'!D8</f>
        <v>42838221</v>
      </c>
      <c r="D5" s="9" t="n">
        <f aca="false">'Objective Summary'!I8</f>
        <v>124</v>
      </c>
      <c r="E5" s="22" t="n">
        <f aca="false">IFERROR(C5/D5,0)</f>
        <v>345469.524193548</v>
      </c>
      <c r="F5" s="7" t="n">
        <f aca="false">'Objective Summary'!J8</f>
        <v>23276290</v>
      </c>
      <c r="G5" s="10" t="n">
        <f aca="false">IFERROR(F5/C5,0)</f>
        <v>0.543353329261736</v>
      </c>
      <c r="H5" s="7" t="n">
        <f aca="false">IFERROR(F5/D5,0)</f>
        <v>187712.016129032</v>
      </c>
      <c r="I5" s="8" t="n">
        <f aca="false">IFERROR(E5/H5,0)</f>
        <v>1.84042306570334</v>
      </c>
    </row>
    <row r="6" customFormat="false" ht="42" hidden="false" customHeight="true" outlineLevel="0" collapsed="false">
      <c r="A6" s="4" t="s">
        <v>179</v>
      </c>
      <c r="B6" s="21" t="s">
        <v>180</v>
      </c>
      <c r="C6" s="7" t="n">
        <f aca="false">'Objective Summary'!D7</f>
        <v>13388742</v>
      </c>
      <c r="D6" s="9" t="n">
        <f aca="false">'Objective Summary'!I7</f>
        <v>121</v>
      </c>
      <c r="E6" s="22" t="n">
        <f aca="false">IFERROR(C6/D6,0)</f>
        <v>110650.760330579</v>
      </c>
      <c r="F6" s="7" t="n">
        <f aca="false">'Objective Summary'!J7</f>
        <v>22739149</v>
      </c>
      <c r="G6" s="10" t="n">
        <f aca="false">IFERROR(F6/C6,0)</f>
        <v>1.69837830917946</v>
      </c>
      <c r="H6" s="7" t="n">
        <f aca="false">IFERROR(F6/D6,0)</f>
        <v>187926.851239669</v>
      </c>
      <c r="I6" s="8" t="n">
        <f aca="false">IFERROR(E6/H6,0)</f>
        <v>0.58879696861127</v>
      </c>
    </row>
    <row r="7" customFormat="false" ht="42" hidden="false" customHeight="true" outlineLevel="0" collapsed="false">
      <c r="A7" s="4" t="s">
        <v>181</v>
      </c>
      <c r="B7" s="21" t="s">
        <v>182</v>
      </c>
      <c r="C7" s="7" t="n">
        <f aca="false">'Campaign Summary'!F8</f>
        <v>10666202</v>
      </c>
      <c r="D7" s="9" t="n">
        <f aca="false">'Campaign Summary'!K8</f>
        <v>116</v>
      </c>
      <c r="E7" s="22" t="n">
        <f aca="false">IFERROR(C7/D7,0)</f>
        <v>91950.0172413793</v>
      </c>
      <c r="F7" s="7" t="n">
        <f aca="false">'Campaign Summary'!L8</f>
        <v>21756098</v>
      </c>
      <c r="G7" s="10" t="n">
        <f aca="false">IFERROR(F7/C7,0)</f>
        <v>2.03972304293506</v>
      </c>
      <c r="H7" s="7" t="n">
        <f aca="false">IFERROR(F7/D7,0)</f>
        <v>187552.568965517</v>
      </c>
      <c r="I7" s="8" t="n">
        <f aca="false">IFERROR(E7/H7,0)</f>
        <v>0.490262638088871</v>
      </c>
    </row>
    <row r="9" customFormat="false" ht="15" hidden="false" customHeight="false" outlineLevel="0" collapsed="false">
      <c r="A9" s="23" t="s">
        <v>183</v>
      </c>
      <c r="B9" s="2" t="s">
        <v>184</v>
      </c>
      <c r="E9" s="22" t="n">
        <f aca="false">E5-E6</f>
        <v>234818.76386297</v>
      </c>
    </row>
    <row r="11" customFormat="false" ht="15" hidden="false" customHeight="false" outlineLevel="0" collapsed="false">
      <c r="A11" s="23" t="s">
        <v>185</v>
      </c>
    </row>
    <row r="12" customFormat="false" ht="15" hidden="false" customHeight="false" outlineLevel="0" collapsed="false">
      <c r="A12" s="13" t="s">
        <v>186</v>
      </c>
    </row>
    <row r="13" customFormat="false" ht="15" hidden="false" customHeight="false" outlineLevel="0" collapsed="false">
      <c r="A13" s="13" t="s">
        <v>187</v>
      </c>
    </row>
    <row r="14" customFormat="false" ht="15" hidden="false" customHeight="false" outlineLevel="0" collapsed="false">
      <c r="A14" s="13" t="s">
        <v>188</v>
      </c>
    </row>
    <row r="15" customFormat="false" ht="15" hidden="false" customHeight="false" outlineLevel="0" collapsed="false">
      <c r="A15" s="13" t="s">
        <v>189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5" min="2" style="0" width="18"/>
    <col collapsed="false" customWidth="true" hidden="false" outlineLevel="0" max="6" min="6" style="0" width="13"/>
    <col collapsed="false" customWidth="true" hidden="false" outlineLevel="0" max="7" min="7" style="0" width="11"/>
    <col collapsed="false" customWidth="true" hidden="false" outlineLevel="0" max="8" min="8" style="0" width="10"/>
    <col collapsed="false" customWidth="true" hidden="false" outlineLevel="0" max="10" min="9" style="0" width="16"/>
    <col collapsed="false" customWidth="true" hidden="false" outlineLevel="0" max="11" min="11" style="0" width="18"/>
    <col collapsed="false" customWidth="true" hidden="false" outlineLevel="0" max="12" min="12" style="0" width="11"/>
    <col collapsed="false" customWidth="true" hidden="false" outlineLevel="0" max="13" min="13" style="0" width="10"/>
  </cols>
  <sheetData>
    <row r="1" customFormat="false" ht="17.35" hidden="false" customHeight="false" outlineLevel="0" collapsed="false">
      <c r="A1" s="16" t="s">
        <v>190</v>
      </c>
    </row>
    <row r="2" customFormat="false" ht="15" hidden="false" customHeight="false" outlineLevel="0" collapsed="false">
      <c r="A2" s="2" t="s">
        <v>191</v>
      </c>
    </row>
    <row r="4" customFormat="false" ht="31.5" hidden="false" customHeight="true" outlineLevel="0" collapsed="false">
      <c r="A4" s="12" t="s">
        <v>46</v>
      </c>
      <c r="B4" s="12" t="s">
        <v>192</v>
      </c>
      <c r="C4" s="12" t="s">
        <v>193</v>
      </c>
      <c r="D4" s="12" t="s">
        <v>194</v>
      </c>
      <c r="E4" s="12" t="s">
        <v>195</v>
      </c>
      <c r="F4" s="12" t="s">
        <v>20</v>
      </c>
      <c r="G4" s="12" t="s">
        <v>21</v>
      </c>
      <c r="H4" s="12" t="s">
        <v>143</v>
      </c>
      <c r="I4" s="12" t="s">
        <v>144</v>
      </c>
      <c r="J4" s="12" t="s">
        <v>196</v>
      </c>
      <c r="K4" s="12" t="s">
        <v>197</v>
      </c>
      <c r="L4" s="12" t="s">
        <v>198</v>
      </c>
      <c r="M4" s="12" t="s">
        <v>199</v>
      </c>
    </row>
    <row r="5" customFormat="false" ht="15" hidden="false" customHeight="false" outlineLevel="0" collapsed="false">
      <c r="A5" s="6" t="s">
        <v>200</v>
      </c>
      <c r="B5" s="7" t="n">
        <f aca="false">SUMIFS('Raw Data'!$I:$I,'Raw Data'!$S:$S,$A5,'Raw Data'!$R:$R,"Awareness")</f>
        <v>7456678</v>
      </c>
      <c r="C5" s="7" t="n">
        <f aca="false">SUMIFS('Raw Data'!$I:$I,'Raw Data'!$S:$S,$A5,'Raw Data'!$R:$R,"Traffic")</f>
        <v>4429554</v>
      </c>
      <c r="D5" s="7" t="n">
        <f aca="false">SUMIFS('Raw Data'!$I:$I,'Raw Data'!$S:$S,$A5,'Raw Data'!$R:$R,"Sales")</f>
        <v>2888133</v>
      </c>
      <c r="E5" s="7" t="n">
        <f aca="false">SUM(B5:D5)</f>
        <v>14774365</v>
      </c>
      <c r="F5" s="9" t="n">
        <f aca="false">SUMIFS('Raw Data'!$J:$J,'Raw Data'!$S:$S,$A5)</f>
        <v>38685</v>
      </c>
      <c r="G5" s="9" t="n">
        <f aca="false">SUMIFS('Raw Data'!$M:$M,'Raw Data'!$S:$S,$A5)</f>
        <v>500</v>
      </c>
      <c r="H5" s="9" t="n">
        <f aca="false">SUMIFS('Raw Data'!$K:$K,'Raw Data'!$S:$S,$A5)</f>
        <v>32</v>
      </c>
      <c r="I5" s="7" t="n">
        <f aca="false">SUMIFS('Raw Data'!$L:$L,'Raw Data'!$S:$S,$A5)</f>
        <v>6135493</v>
      </c>
      <c r="J5" s="7" t="n">
        <f aca="false">IFERROR(E5/H5,0)</f>
        <v>461698.90625</v>
      </c>
      <c r="K5" s="7" t="n">
        <f aca="false">IFERROR(D5/SUMIFS('Raw Data'!$K:$K,'Raw Data'!$S:$S,$A5,'Raw Data'!$R:$R,"Sales"),0)</f>
        <v>90254.15625</v>
      </c>
      <c r="L5" s="10" t="n">
        <f aca="false">IFERROR(I5/E5,0)</f>
        <v>0.415279641460056</v>
      </c>
      <c r="M5" s="10" t="n">
        <f aca="false">IFERROR(SUMIFS('Raw Data'!$L:$L,'Raw Data'!$S:$S,$A5,'Raw Data'!$R:$R,"Sales")/D5,0)</f>
        <v>2.12438035228987</v>
      </c>
    </row>
    <row r="6" customFormat="false" ht="15" hidden="false" customHeight="false" outlineLevel="0" collapsed="false">
      <c r="A6" s="6" t="s">
        <v>201</v>
      </c>
      <c r="B6" s="7" t="n">
        <f aca="false">SUMIFS('Raw Data'!$I:$I,'Raw Data'!$S:$S,$A6,'Raw Data'!$R:$R,"Awareness")</f>
        <v>4660328</v>
      </c>
      <c r="C6" s="7" t="n">
        <f aca="false">SUMIFS('Raw Data'!$I:$I,'Raw Data'!$S:$S,$A6,'Raw Data'!$R:$R,"Traffic")</f>
        <v>9284674</v>
      </c>
      <c r="D6" s="7" t="n">
        <f aca="false">SUMIFS('Raw Data'!$I:$I,'Raw Data'!$S:$S,$A6,'Raw Data'!$R:$R,"Sales")</f>
        <v>8875327</v>
      </c>
      <c r="E6" s="7" t="n">
        <f aca="false">SUM(B6:D6)</f>
        <v>22820329</v>
      </c>
      <c r="F6" s="9" t="n">
        <f aca="false">SUMIFS('Raw Data'!$J:$J,'Raw Data'!$S:$S,$A6)</f>
        <v>78132</v>
      </c>
      <c r="G6" s="9" t="n">
        <f aca="false">SUMIFS('Raw Data'!$M:$M,'Raw Data'!$S:$S,$A6)</f>
        <v>1124</v>
      </c>
      <c r="H6" s="9" t="n">
        <f aca="false">SUMIFS('Raw Data'!$K:$K,'Raw Data'!$S:$S,$A6)</f>
        <v>73</v>
      </c>
      <c r="I6" s="7" t="n">
        <f aca="false">SUMIFS('Raw Data'!$L:$L,'Raw Data'!$S:$S,$A6)</f>
        <v>13891743</v>
      </c>
      <c r="J6" s="7" t="n">
        <f aca="false">IFERROR(E6/H6,0)</f>
        <v>312607.246575343</v>
      </c>
      <c r="K6" s="7" t="n">
        <f aca="false">IFERROR(D6/SUMIFS('Raw Data'!$K:$K,'Raw Data'!$S:$S,$A6,'Raw Data'!$R:$R,"Sales"),0)</f>
        <v>125004.605633803</v>
      </c>
      <c r="L6" s="10" t="n">
        <f aca="false">IFERROR(I6/E6,0)</f>
        <v>0.608744203468758</v>
      </c>
      <c r="M6" s="10" t="n">
        <f aca="false">IFERROR(SUMIFS('Raw Data'!$L:$L,'Raw Data'!$S:$S,$A6,'Raw Data'!$R:$R,"Sales")/D6,0)</f>
        <v>1.52400165086875</v>
      </c>
    </row>
    <row r="7" customFormat="false" ht="15" hidden="false" customHeight="false" outlineLevel="0" collapsed="false">
      <c r="A7" s="6" t="s">
        <v>202</v>
      </c>
      <c r="B7" s="7" t="n">
        <f aca="false">SUMIFS('Raw Data'!$I:$I,'Raw Data'!$S:$S,$A7,'Raw Data'!$R:$R,"Awareness")</f>
        <v>1181369</v>
      </c>
      <c r="C7" s="7" t="n">
        <f aca="false">SUMIFS('Raw Data'!$I:$I,'Raw Data'!$S:$S,$A7,'Raw Data'!$R:$R,"Traffic")</f>
        <v>2436876</v>
      </c>
      <c r="D7" s="7" t="n">
        <f aca="false">SUMIFS('Raw Data'!$I:$I,'Raw Data'!$S:$S,$A7,'Raw Data'!$R:$R,"Sales")</f>
        <v>1625282</v>
      </c>
      <c r="E7" s="7" t="n">
        <f aca="false">SUM(B7:D7)</f>
        <v>5243527</v>
      </c>
      <c r="F7" s="9" t="n">
        <f aca="false">SUMIFS('Raw Data'!$J:$J,'Raw Data'!$S:$S,$A7)</f>
        <v>19159</v>
      </c>
      <c r="G7" s="9" t="n">
        <f aca="false">SUMIFS('Raw Data'!$M:$M,'Raw Data'!$S:$S,$A7)</f>
        <v>213</v>
      </c>
      <c r="H7" s="9" t="n">
        <f aca="false">SUMIFS('Raw Data'!$K:$K,'Raw Data'!$S:$S,$A7)</f>
        <v>19</v>
      </c>
      <c r="I7" s="7" t="n">
        <f aca="false">SUMIFS('Raw Data'!$L:$L,'Raw Data'!$S:$S,$A7)</f>
        <v>3249054</v>
      </c>
      <c r="J7" s="7" t="n">
        <f aca="false">IFERROR(E7/H7,0)</f>
        <v>275975.105263158</v>
      </c>
      <c r="K7" s="7" t="n">
        <f aca="false">IFERROR(D7/SUMIFS('Raw Data'!$K:$K,'Raw Data'!$S:$S,$A7,'Raw Data'!$R:$R,"Sales"),0)</f>
        <v>90293.4444444444</v>
      </c>
      <c r="L7" s="10" t="n">
        <f aca="false">IFERROR(I7/E7,0)</f>
        <v>0.619631404587027</v>
      </c>
      <c r="M7" s="10" t="n">
        <f aca="false">IFERROR(SUMIFS('Raw Data'!$L:$L,'Raw Data'!$S:$S,$A7,'Raw Data'!$R:$R,"Sales")/D7,0)</f>
        <v>1.8936055404539</v>
      </c>
    </row>
    <row r="8" customFormat="false" ht="15" hidden="false" customHeight="false" outlineLevel="0" collapsed="false">
      <c r="A8" s="17" t="s">
        <v>154</v>
      </c>
      <c r="B8" s="5" t="n">
        <f aca="false">SUM(B5:B7)</f>
        <v>13298375</v>
      </c>
      <c r="C8" s="5" t="n">
        <f aca="false">SUM(C5:C7)</f>
        <v>16151104</v>
      </c>
      <c r="D8" s="5" t="n">
        <f aca="false">SUM(D5:D7)</f>
        <v>13388742</v>
      </c>
      <c r="E8" s="5" t="n">
        <f aca="false">SUM(E5:E7)</f>
        <v>42838221</v>
      </c>
      <c r="F8" s="18" t="n">
        <f aca="false">SUM(F5:F7)</f>
        <v>135976</v>
      </c>
      <c r="G8" s="18" t="n">
        <f aca="false">SUM(G5:G7)</f>
        <v>1837</v>
      </c>
      <c r="H8" s="18" t="n">
        <f aca="false">SUM(H5:H7)</f>
        <v>124</v>
      </c>
      <c r="I8" s="5" t="n">
        <f aca="false">SUM(I5:I7)</f>
        <v>23276290</v>
      </c>
      <c r="J8" s="5" t="n">
        <f aca="false">IFERROR(E8/H8,0)</f>
        <v>345469.524193548</v>
      </c>
      <c r="K8" s="5" t="n">
        <f aca="false">IFERROR(D8/SUMIFS('Raw Data'!$K:$K,'Raw Data'!$R:$R,"Sales"),0)</f>
        <v>110650.760330579</v>
      </c>
      <c r="L8" s="20" t="n">
        <f aca="false">IFERROR(I8/E8,0)</f>
        <v>0.543353329261736</v>
      </c>
      <c r="M8" s="20" t="n">
        <f aca="false">IFERROR(SUMIFS('Raw Data'!$L:$L,'Raw Data'!$R:$R,"Sales")/D8,0)</f>
        <v>1.69837830917946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46"/>
    <col collapsed="false" customWidth="true" hidden="false" outlineLevel="0" max="4" min="4" style="0" width="9"/>
    <col collapsed="false" customWidth="true" hidden="false" outlineLevel="0" max="5" min="5" style="0" width="16"/>
    <col collapsed="false" customWidth="true" hidden="false" outlineLevel="0" max="7" min="6" style="0" width="12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0" min="10" style="0" width="10"/>
    <col collapsed="false" customWidth="true" hidden="false" outlineLevel="0" max="11" min="11" style="0" width="16"/>
    <col collapsed="false" customWidth="true" hidden="false" outlineLevel="0" max="12" min="12" style="0" width="12"/>
    <col collapsed="false" customWidth="true" hidden="false" outlineLevel="0" max="13" min="13" style="0" width="13"/>
    <col collapsed="false" customWidth="true" hidden="false" outlineLevel="0" max="14" min="14" style="0" width="11"/>
    <col collapsed="false" customWidth="true" hidden="false" outlineLevel="0" max="15" min="15" style="0" width="12"/>
    <col collapsed="false" customWidth="true" hidden="false" outlineLevel="0" max="16" min="16" style="0" width="14"/>
    <col collapsed="false" customWidth="true" hidden="false" outlineLevel="0" max="17" min="17" style="0" width="9"/>
  </cols>
  <sheetData>
    <row r="1" customFormat="false" ht="17.35" hidden="false" customHeight="false" outlineLevel="0" collapsed="false">
      <c r="A1" s="16" t="s">
        <v>203</v>
      </c>
    </row>
    <row r="2" customFormat="false" ht="15" hidden="false" customHeight="false" outlineLevel="0" collapsed="false">
      <c r="A2" s="2" t="s">
        <v>204</v>
      </c>
    </row>
    <row r="4" customFormat="false" ht="31.5" hidden="false" customHeight="true" outlineLevel="0" collapsed="false">
      <c r="A4" s="12" t="s">
        <v>45</v>
      </c>
      <c r="B4" s="12" t="s">
        <v>29</v>
      </c>
      <c r="C4" s="12" t="s">
        <v>30</v>
      </c>
      <c r="D4" s="12" t="s">
        <v>141</v>
      </c>
      <c r="E4" s="12" t="s">
        <v>142</v>
      </c>
      <c r="F4" s="12" t="s">
        <v>34</v>
      </c>
      <c r="G4" s="12" t="s">
        <v>35</v>
      </c>
      <c r="H4" s="12" t="s">
        <v>20</v>
      </c>
      <c r="I4" s="12" t="s">
        <v>21</v>
      </c>
      <c r="J4" s="12" t="s">
        <v>143</v>
      </c>
      <c r="K4" s="12" t="s">
        <v>144</v>
      </c>
      <c r="L4" s="12" t="s">
        <v>146</v>
      </c>
      <c r="M4" s="12" t="s">
        <v>147</v>
      </c>
      <c r="N4" s="12" t="s">
        <v>205</v>
      </c>
      <c r="O4" s="12" t="s">
        <v>206</v>
      </c>
      <c r="P4" s="12" t="s">
        <v>149</v>
      </c>
      <c r="Q4" s="12" t="s">
        <v>150</v>
      </c>
    </row>
    <row r="5" customFormat="false" ht="15" hidden="false" customHeight="false" outlineLevel="0" collapsed="false">
      <c r="A5" s="6" t="s">
        <v>151</v>
      </c>
      <c r="B5" s="6" t="s">
        <v>47</v>
      </c>
      <c r="C5" s="6" t="s">
        <v>48</v>
      </c>
      <c r="D5" s="6" t="n">
        <v>12</v>
      </c>
      <c r="E5" s="7" t="n">
        <f aca="false">SUMIFS('Raw Data'!$I:$I,'Raw Data'!$A:$A,$B5,'Raw Data'!$B:$B,$C5)</f>
        <v>646116</v>
      </c>
      <c r="F5" s="9" t="n">
        <f aca="false">SUMIFS('Raw Data'!$F:$F,'Raw Data'!$A:$A,$B5,'Raw Data'!$B:$B,$C5)</f>
        <v>527633</v>
      </c>
      <c r="G5" s="9" t="n">
        <f aca="false">SUMIFS('Raw Data'!$G:$G,'Raw Data'!$A:$A,$B5,'Raw Data'!$B:$B,$C5)</f>
        <v>535257</v>
      </c>
      <c r="H5" s="9" t="n">
        <f aca="false">SUMIFS('Raw Data'!$J:$J,'Raw Data'!$A:$A,$B5,'Raw Data'!$B:$B,$C5)</f>
        <v>0</v>
      </c>
      <c r="I5" s="9" t="n">
        <f aca="false">SUMIFS('Raw Data'!$M:$M,'Raw Data'!$A:$A,$B5,'Raw Data'!$B:$B,$C5)</f>
        <v>0</v>
      </c>
      <c r="J5" s="9" t="n">
        <f aca="false">SUMIFS('Raw Data'!$K:$K,'Raw Data'!$A:$A,$B5,'Raw Data'!$B:$B,$C5)</f>
        <v>0</v>
      </c>
      <c r="K5" s="7" t="n">
        <f aca="false">SUMIFS('Raw Data'!$L:$L,'Raw Data'!$A:$A,$B5,'Raw Data'!$B:$B,$C5)</f>
        <v>0</v>
      </c>
      <c r="L5" s="7" t="n">
        <f aca="false">IFERROR(E5/G5*1000,0)</f>
        <v>1207.11359216227</v>
      </c>
      <c r="M5" s="7" t="n">
        <f aca="false">IFERROR(E5/H5,0)</f>
        <v>0</v>
      </c>
      <c r="N5" s="8" t="n">
        <f aca="false">IFERROR(I5/H5,0)</f>
        <v>0</v>
      </c>
      <c r="O5" s="8" t="n">
        <f aca="false">IFERROR(J5/I5,0)</f>
        <v>0</v>
      </c>
      <c r="P5" s="7" t="n">
        <f aca="false">IFERROR(E5/J5,0)</f>
        <v>0</v>
      </c>
      <c r="Q5" s="10" t="n">
        <f aca="false">IFERROR(K5/E5,0)</f>
        <v>0</v>
      </c>
    </row>
    <row r="6" customFormat="false" ht="15" hidden="false" customHeight="false" outlineLevel="0" collapsed="false">
      <c r="A6" s="6" t="s">
        <v>151</v>
      </c>
      <c r="B6" s="6" t="s">
        <v>47</v>
      </c>
      <c r="C6" s="6" t="s">
        <v>53</v>
      </c>
      <c r="D6" s="6" t="n">
        <v>12</v>
      </c>
      <c r="E6" s="7" t="n">
        <f aca="false">SUMIFS('Raw Data'!$I:$I,'Raw Data'!$A:$A,$B6,'Raw Data'!$B:$B,$C6)</f>
        <v>807913</v>
      </c>
      <c r="F6" s="9" t="n">
        <f aca="false">SUMIFS('Raw Data'!$F:$F,'Raw Data'!$A:$A,$B6,'Raw Data'!$B:$B,$C6)</f>
        <v>666843</v>
      </c>
      <c r="G6" s="9" t="n">
        <f aca="false">SUMIFS('Raw Data'!$G:$G,'Raw Data'!$A:$A,$B6,'Raw Data'!$B:$B,$C6)</f>
        <v>677940</v>
      </c>
      <c r="H6" s="9" t="n">
        <f aca="false">SUMIFS('Raw Data'!$J:$J,'Raw Data'!$A:$A,$B6,'Raw Data'!$B:$B,$C6)</f>
        <v>0</v>
      </c>
      <c r="I6" s="9" t="n">
        <f aca="false">SUMIFS('Raw Data'!$M:$M,'Raw Data'!$A:$A,$B6,'Raw Data'!$B:$B,$C6)</f>
        <v>0</v>
      </c>
      <c r="J6" s="9" t="n">
        <f aca="false">SUMIFS('Raw Data'!$K:$K,'Raw Data'!$A:$A,$B6,'Raw Data'!$B:$B,$C6)</f>
        <v>0</v>
      </c>
      <c r="K6" s="7" t="n">
        <f aca="false">SUMIFS('Raw Data'!$L:$L,'Raw Data'!$A:$A,$B6,'Raw Data'!$B:$B,$C6)</f>
        <v>0</v>
      </c>
      <c r="L6" s="7" t="n">
        <f aca="false">IFERROR(E6/G6*1000,0)</f>
        <v>1191.71755612591</v>
      </c>
      <c r="M6" s="7" t="n">
        <f aca="false">IFERROR(E6/H6,0)</f>
        <v>0</v>
      </c>
      <c r="N6" s="8" t="n">
        <f aca="false">IFERROR(I6/H6,0)</f>
        <v>0</v>
      </c>
      <c r="O6" s="8" t="n">
        <f aca="false">IFERROR(J6/I6,0)</f>
        <v>0</v>
      </c>
      <c r="P6" s="7" t="n">
        <f aca="false">IFERROR(E6/J6,0)</f>
        <v>0</v>
      </c>
      <c r="Q6" s="10" t="n">
        <f aca="false">IFERROR(K6/E6,0)</f>
        <v>0</v>
      </c>
    </row>
    <row r="7" customFormat="false" ht="15" hidden="false" customHeight="false" outlineLevel="0" collapsed="false">
      <c r="A7" s="6" t="s">
        <v>151</v>
      </c>
      <c r="B7" s="6" t="s">
        <v>47</v>
      </c>
      <c r="C7" s="6" t="s">
        <v>54</v>
      </c>
      <c r="D7" s="6" t="n">
        <v>12</v>
      </c>
      <c r="E7" s="7" t="n">
        <f aca="false">SUMIFS('Raw Data'!$I:$I,'Raw Data'!$A:$A,$B7,'Raw Data'!$B:$B,$C7)</f>
        <v>1963342</v>
      </c>
      <c r="F7" s="9" t="n">
        <f aca="false">SUMIFS('Raw Data'!$F:$F,'Raw Data'!$A:$A,$B7,'Raw Data'!$B:$B,$C7)</f>
        <v>1637147</v>
      </c>
      <c r="G7" s="9" t="n">
        <f aca="false">SUMIFS('Raw Data'!$G:$G,'Raw Data'!$A:$A,$B7,'Raw Data'!$B:$B,$C7)</f>
        <v>1650256</v>
      </c>
      <c r="H7" s="9" t="n">
        <f aca="false">SUMIFS('Raw Data'!$J:$J,'Raw Data'!$A:$A,$B7,'Raw Data'!$B:$B,$C7)</f>
        <v>0</v>
      </c>
      <c r="I7" s="9" t="n">
        <f aca="false">SUMIFS('Raw Data'!$M:$M,'Raw Data'!$A:$A,$B7,'Raw Data'!$B:$B,$C7)</f>
        <v>0</v>
      </c>
      <c r="J7" s="9" t="n">
        <f aca="false">SUMIFS('Raw Data'!$K:$K,'Raw Data'!$A:$A,$B7,'Raw Data'!$B:$B,$C7)</f>
        <v>0</v>
      </c>
      <c r="K7" s="7" t="n">
        <f aca="false">SUMIFS('Raw Data'!$L:$L,'Raw Data'!$A:$A,$B7,'Raw Data'!$B:$B,$C7)</f>
        <v>0</v>
      </c>
      <c r="L7" s="7" t="n">
        <f aca="false">IFERROR(E7/G7*1000,0)</f>
        <v>1189.71965561707</v>
      </c>
      <c r="M7" s="7" t="n">
        <f aca="false">IFERROR(E7/H7,0)</f>
        <v>0</v>
      </c>
      <c r="N7" s="8" t="n">
        <f aca="false">IFERROR(I7/H7,0)</f>
        <v>0</v>
      </c>
      <c r="O7" s="8" t="n">
        <f aca="false">IFERROR(J7/I7,0)</f>
        <v>0</v>
      </c>
      <c r="P7" s="7" t="n">
        <f aca="false">IFERROR(E7/J7,0)</f>
        <v>0</v>
      </c>
      <c r="Q7" s="10" t="n">
        <f aca="false">IFERROR(K7/E7,0)</f>
        <v>0</v>
      </c>
    </row>
    <row r="8" customFormat="false" ht="15" hidden="false" customHeight="false" outlineLevel="0" collapsed="false">
      <c r="A8" s="6" t="s">
        <v>151</v>
      </c>
      <c r="B8" s="6" t="s">
        <v>66</v>
      </c>
      <c r="C8" s="6" t="s">
        <v>67</v>
      </c>
      <c r="D8" s="6" t="n">
        <v>55</v>
      </c>
      <c r="E8" s="7" t="n">
        <f aca="false">SUMIFS('Raw Data'!$I:$I,'Raw Data'!$A:$A,$B8,'Raw Data'!$B:$B,$C8)</f>
        <v>5955833</v>
      </c>
      <c r="F8" s="9" t="n">
        <f aca="false">SUMIFS('Raw Data'!$F:$F,'Raw Data'!$A:$A,$B8,'Raw Data'!$B:$B,$C8)</f>
        <v>4602636</v>
      </c>
      <c r="G8" s="9" t="n">
        <f aca="false">SUMIFS('Raw Data'!$G:$G,'Raw Data'!$A:$A,$B8,'Raw Data'!$B:$B,$C8)</f>
        <v>4646093</v>
      </c>
      <c r="H8" s="9" t="n">
        <f aca="false">SUMIFS('Raw Data'!$J:$J,'Raw Data'!$A:$A,$B8,'Raw Data'!$B:$B,$C8)</f>
        <v>775</v>
      </c>
      <c r="I8" s="9" t="n">
        <f aca="false">SUMIFS('Raw Data'!$M:$M,'Raw Data'!$A:$A,$B8,'Raw Data'!$B:$B,$C8)</f>
        <v>1</v>
      </c>
      <c r="J8" s="9" t="n">
        <f aca="false">SUMIFS('Raw Data'!$K:$K,'Raw Data'!$A:$A,$B8,'Raw Data'!$B:$B,$C8)</f>
        <v>0</v>
      </c>
      <c r="K8" s="7" t="n">
        <f aca="false">SUMIFS('Raw Data'!$L:$L,'Raw Data'!$A:$A,$B8,'Raw Data'!$B:$B,$C8)</f>
        <v>0</v>
      </c>
      <c r="L8" s="7" t="n">
        <f aca="false">IFERROR(E8/G8*1000,0)</f>
        <v>1281.90137390707</v>
      </c>
      <c r="M8" s="7" t="n">
        <f aca="false">IFERROR(E8/H8,0)</f>
        <v>7684.94580645161</v>
      </c>
      <c r="N8" s="8" t="n">
        <f aca="false">IFERROR(I8/H8,0)</f>
        <v>0.00129032258064516</v>
      </c>
      <c r="O8" s="8" t="n">
        <f aca="false">IFERROR(J8/I8,0)</f>
        <v>0</v>
      </c>
      <c r="P8" s="7" t="n">
        <f aca="false">IFERROR(E8/J8,0)</f>
        <v>0</v>
      </c>
      <c r="Q8" s="10" t="n">
        <f aca="false">IFERROR(K8/E8,0)</f>
        <v>0</v>
      </c>
    </row>
    <row r="9" customFormat="false" ht="15" hidden="false" customHeight="false" outlineLevel="0" collapsed="false">
      <c r="A9" s="6" t="s">
        <v>151</v>
      </c>
      <c r="B9" s="6" t="s">
        <v>66</v>
      </c>
      <c r="C9" s="6" t="s">
        <v>70</v>
      </c>
      <c r="D9" s="6" t="n">
        <v>55</v>
      </c>
      <c r="E9" s="7" t="n">
        <f aca="false">SUMIFS('Raw Data'!$I:$I,'Raw Data'!$A:$A,$B9,'Raw Data'!$B:$B,$C9)</f>
        <v>1936383</v>
      </c>
      <c r="F9" s="9" t="n">
        <f aca="false">SUMIFS('Raw Data'!$F:$F,'Raw Data'!$A:$A,$B9,'Raw Data'!$B:$B,$C9)</f>
        <v>1565042</v>
      </c>
      <c r="G9" s="9" t="n">
        <f aca="false">SUMIFS('Raw Data'!$G:$G,'Raw Data'!$A:$A,$B9,'Raw Data'!$B:$B,$C9)</f>
        <v>1576148</v>
      </c>
      <c r="H9" s="9" t="n">
        <f aca="false">SUMIFS('Raw Data'!$J:$J,'Raw Data'!$A:$A,$B9,'Raw Data'!$B:$B,$C9)</f>
        <v>280</v>
      </c>
      <c r="I9" s="9" t="n">
        <f aca="false">SUMIFS('Raw Data'!$M:$M,'Raw Data'!$A:$A,$B9,'Raw Data'!$B:$B,$C9)</f>
        <v>2</v>
      </c>
      <c r="J9" s="9" t="n">
        <f aca="false">SUMIFS('Raw Data'!$K:$K,'Raw Data'!$A:$A,$B9,'Raw Data'!$B:$B,$C9)</f>
        <v>0</v>
      </c>
      <c r="K9" s="7" t="n">
        <f aca="false">SUMIFS('Raw Data'!$L:$L,'Raw Data'!$A:$A,$B9,'Raw Data'!$B:$B,$C9)</f>
        <v>0</v>
      </c>
      <c r="L9" s="7" t="n">
        <f aca="false">IFERROR(E9/G9*1000,0)</f>
        <v>1228.55404441715</v>
      </c>
      <c r="M9" s="7" t="n">
        <f aca="false">IFERROR(E9/H9,0)</f>
        <v>6915.65357142857</v>
      </c>
      <c r="N9" s="8" t="n">
        <f aca="false">IFERROR(I9/H9,0)</f>
        <v>0.00714285714285714</v>
      </c>
      <c r="O9" s="8" t="n">
        <f aca="false">IFERROR(J9/I9,0)</f>
        <v>0</v>
      </c>
      <c r="P9" s="7" t="n">
        <f aca="false">IFERROR(E9/J9,0)</f>
        <v>0</v>
      </c>
      <c r="Q9" s="10" t="n">
        <f aca="false">IFERROR(K9/E9,0)</f>
        <v>0</v>
      </c>
    </row>
    <row r="10" customFormat="false" ht="15" hidden="false" customHeight="false" outlineLevel="0" collapsed="false">
      <c r="A10" s="6" t="s">
        <v>151</v>
      </c>
      <c r="B10" s="6" t="s">
        <v>66</v>
      </c>
      <c r="C10" s="6" t="s">
        <v>71</v>
      </c>
      <c r="D10" s="6" t="n">
        <v>55</v>
      </c>
      <c r="E10" s="7" t="n">
        <f aca="false">SUMIFS('Raw Data'!$I:$I,'Raw Data'!$A:$A,$B10,'Raw Data'!$B:$B,$C10)</f>
        <v>1988788</v>
      </c>
      <c r="F10" s="9" t="n">
        <f aca="false">SUMIFS('Raw Data'!$F:$F,'Raw Data'!$A:$A,$B10,'Raw Data'!$B:$B,$C10)</f>
        <v>1469618</v>
      </c>
      <c r="G10" s="9" t="n">
        <f aca="false">SUMIFS('Raw Data'!$G:$G,'Raw Data'!$A:$A,$B10,'Raw Data'!$B:$B,$C10)</f>
        <v>1475580</v>
      </c>
      <c r="H10" s="9" t="n">
        <f aca="false">SUMIFS('Raw Data'!$J:$J,'Raw Data'!$A:$A,$B10,'Raw Data'!$B:$B,$C10)</f>
        <v>341</v>
      </c>
      <c r="I10" s="9" t="n">
        <f aca="false">SUMIFS('Raw Data'!$M:$M,'Raw Data'!$A:$A,$B10,'Raw Data'!$B:$B,$C10)</f>
        <v>3</v>
      </c>
      <c r="J10" s="9" t="n">
        <f aca="false">SUMIFS('Raw Data'!$K:$K,'Raw Data'!$A:$A,$B10,'Raw Data'!$B:$B,$C10)</f>
        <v>0</v>
      </c>
      <c r="K10" s="7" t="n">
        <f aca="false">SUMIFS('Raw Data'!$L:$L,'Raw Data'!$A:$A,$B10,'Raw Data'!$B:$B,$C10)</f>
        <v>0</v>
      </c>
      <c r="L10" s="7" t="n">
        <f aca="false">IFERROR(E10/G10*1000,0)</f>
        <v>1347.80086474471</v>
      </c>
      <c r="M10" s="7" t="n">
        <f aca="false">IFERROR(E10/H10,0)</f>
        <v>5832.22287390029</v>
      </c>
      <c r="N10" s="8" t="n">
        <f aca="false">IFERROR(I10/H10,0)</f>
        <v>0.00879765395894428</v>
      </c>
      <c r="O10" s="8" t="n">
        <f aca="false">IFERROR(J10/I10,0)</f>
        <v>0</v>
      </c>
      <c r="P10" s="7" t="n">
        <f aca="false">IFERROR(E10/J10,0)</f>
        <v>0</v>
      </c>
      <c r="Q10" s="10" t="n">
        <f aca="false">IFERROR(K10/E10,0)</f>
        <v>0</v>
      </c>
    </row>
    <row r="11" customFormat="false" ht="15" hidden="false" customHeight="false" outlineLevel="0" collapsed="false">
      <c r="A11" s="6" t="s">
        <v>152</v>
      </c>
      <c r="B11" s="6" t="s">
        <v>75</v>
      </c>
      <c r="C11" s="6" t="s">
        <v>76</v>
      </c>
      <c r="D11" s="6" t="n">
        <v>54</v>
      </c>
      <c r="E11" s="7" t="n">
        <f aca="false">SUMIFS('Raw Data'!$I:$I,'Raw Data'!$A:$A,$B11,'Raw Data'!$B:$B,$C11)</f>
        <v>12294530</v>
      </c>
      <c r="F11" s="9" t="n">
        <f aca="false">SUMIFS('Raw Data'!$F:$F,'Raw Data'!$A:$A,$B11,'Raw Data'!$B:$B,$C11)</f>
        <v>3745609</v>
      </c>
      <c r="G11" s="9" t="n">
        <f aca="false">SUMIFS('Raw Data'!$G:$G,'Raw Data'!$A:$A,$B11,'Raw Data'!$B:$B,$C11)</f>
        <v>4574438</v>
      </c>
      <c r="H11" s="9" t="n">
        <f aca="false">SUMIFS('Raw Data'!$J:$J,'Raw Data'!$A:$A,$B11,'Raw Data'!$B:$B,$C11)</f>
        <v>88075</v>
      </c>
      <c r="I11" s="9" t="n">
        <f aca="false">SUMIFS('Raw Data'!$M:$M,'Raw Data'!$A:$A,$B11,'Raw Data'!$B:$B,$C11)</f>
        <v>253</v>
      </c>
      <c r="J11" s="9" t="n">
        <f aca="false">SUMIFS('Raw Data'!$K:$K,'Raw Data'!$A:$A,$B11,'Raw Data'!$B:$B,$C11)</f>
        <v>2</v>
      </c>
      <c r="K11" s="7" t="n">
        <f aca="false">SUMIFS('Raw Data'!$L:$L,'Raw Data'!$A:$A,$B11,'Raw Data'!$B:$B,$C11)</f>
        <v>377982</v>
      </c>
      <c r="L11" s="7" t="n">
        <f aca="false">IFERROR(E11/G11*1000,0)</f>
        <v>2687.65911790694</v>
      </c>
      <c r="M11" s="7" t="n">
        <f aca="false">IFERROR(E11/H11,0)</f>
        <v>139.591598069827</v>
      </c>
      <c r="N11" s="8" t="n">
        <f aca="false">IFERROR(I11/H11,0)</f>
        <v>0.0028725518024411</v>
      </c>
      <c r="O11" s="8" t="n">
        <f aca="false">IFERROR(J11/I11,0)</f>
        <v>0.00790513833992095</v>
      </c>
      <c r="P11" s="7" t="n">
        <f aca="false">IFERROR(E11/J11,0)</f>
        <v>6147265</v>
      </c>
      <c r="Q11" s="10" t="n">
        <f aca="false">IFERROR(K11/E11,0)</f>
        <v>0.0307439161968778</v>
      </c>
    </row>
    <row r="12" customFormat="false" ht="15" hidden="false" customHeight="false" outlineLevel="0" collapsed="false">
      <c r="A12" s="6" t="s">
        <v>152</v>
      </c>
      <c r="B12" s="6" t="s">
        <v>75</v>
      </c>
      <c r="C12" s="6" t="s">
        <v>77</v>
      </c>
      <c r="D12" s="6" t="n">
        <v>54</v>
      </c>
      <c r="E12" s="7" t="n">
        <f aca="false">SUMIFS('Raw Data'!$I:$I,'Raw Data'!$A:$A,$B12,'Raw Data'!$B:$B,$C12)</f>
        <v>549805</v>
      </c>
      <c r="F12" s="9" t="n">
        <f aca="false">SUMIFS('Raw Data'!$F:$F,'Raw Data'!$A:$A,$B12,'Raw Data'!$B:$B,$C12)</f>
        <v>112323</v>
      </c>
      <c r="G12" s="9" t="n">
        <f aca="false">SUMIFS('Raw Data'!$G:$G,'Raw Data'!$A:$A,$B12,'Raw Data'!$B:$B,$C12)</f>
        <v>133045</v>
      </c>
      <c r="H12" s="9" t="n">
        <f aca="false">SUMIFS('Raw Data'!$J:$J,'Raw Data'!$A:$A,$B12,'Raw Data'!$B:$B,$C12)</f>
        <v>3813</v>
      </c>
      <c r="I12" s="9" t="n">
        <f aca="false">SUMIFS('Raw Data'!$M:$M,'Raw Data'!$A:$A,$B12,'Raw Data'!$B:$B,$C12)</f>
        <v>20</v>
      </c>
      <c r="J12" s="9" t="n">
        <f aca="false">SUMIFS('Raw Data'!$K:$K,'Raw Data'!$A:$A,$B12,'Raw Data'!$B:$B,$C12)</f>
        <v>0</v>
      </c>
      <c r="K12" s="7" t="n">
        <f aca="false">SUMIFS('Raw Data'!$L:$L,'Raw Data'!$A:$A,$B12,'Raw Data'!$B:$B,$C12)</f>
        <v>0</v>
      </c>
      <c r="L12" s="7" t="n">
        <f aca="false">IFERROR(E12/G12*1000,0)</f>
        <v>4132.47397497088</v>
      </c>
      <c r="M12" s="7" t="n">
        <f aca="false">IFERROR(E12/H12,0)</f>
        <v>144.192237083661</v>
      </c>
      <c r="N12" s="8" t="n">
        <f aca="false">IFERROR(I12/H12,0)</f>
        <v>0.00524521374246001</v>
      </c>
      <c r="O12" s="8" t="n">
        <f aca="false">IFERROR(J12/I12,0)</f>
        <v>0</v>
      </c>
      <c r="P12" s="7" t="n">
        <f aca="false">IFERROR(E12/J12,0)</f>
        <v>0</v>
      </c>
      <c r="Q12" s="10" t="n">
        <f aca="false">IFERROR(K12/E12,0)</f>
        <v>0</v>
      </c>
    </row>
    <row r="13" customFormat="false" ht="15" hidden="false" customHeight="false" outlineLevel="0" collapsed="false">
      <c r="A13" s="6" t="s">
        <v>152</v>
      </c>
      <c r="B13" s="6" t="s">
        <v>75</v>
      </c>
      <c r="C13" s="6" t="s">
        <v>79</v>
      </c>
      <c r="D13" s="6" t="n">
        <v>53</v>
      </c>
      <c r="E13" s="7" t="n">
        <f aca="false">SUMIFS('Raw Data'!$I:$I,'Raw Data'!$A:$A,$B13,'Raw Data'!$B:$B,$C13)</f>
        <v>3306769</v>
      </c>
      <c r="F13" s="9" t="n">
        <f aca="false">SUMIFS('Raw Data'!$F:$F,'Raw Data'!$A:$A,$B13,'Raw Data'!$B:$B,$C13)</f>
        <v>899301</v>
      </c>
      <c r="G13" s="9" t="n">
        <f aca="false">SUMIFS('Raw Data'!$G:$G,'Raw Data'!$A:$A,$B13,'Raw Data'!$B:$B,$C13)</f>
        <v>1066585</v>
      </c>
      <c r="H13" s="9" t="n">
        <f aca="false">SUMIFS('Raw Data'!$J:$J,'Raw Data'!$A:$A,$B13,'Raw Data'!$B:$B,$C13)</f>
        <v>27019</v>
      </c>
      <c r="I13" s="9" t="n">
        <f aca="false">SUMIFS('Raw Data'!$M:$M,'Raw Data'!$A:$A,$B13,'Raw Data'!$B:$B,$C13)</f>
        <v>59</v>
      </c>
      <c r="J13" s="9" t="n">
        <f aca="false">SUMIFS('Raw Data'!$K:$K,'Raw Data'!$A:$A,$B13,'Raw Data'!$B:$B,$C13)</f>
        <v>1</v>
      </c>
      <c r="K13" s="7" t="n">
        <f aca="false">SUMIFS('Raw Data'!$L:$L,'Raw Data'!$A:$A,$B13,'Raw Data'!$B:$B,$C13)</f>
        <v>159159</v>
      </c>
      <c r="L13" s="7" t="n">
        <f aca="false">IFERROR(E13/G13*1000,0)</f>
        <v>3100.3333067688</v>
      </c>
      <c r="M13" s="7" t="n">
        <f aca="false">IFERROR(E13/H13,0)</f>
        <v>122.386801880158</v>
      </c>
      <c r="N13" s="8" t="n">
        <f aca="false">IFERROR(I13/H13,0)</f>
        <v>0.00218364854361745</v>
      </c>
      <c r="O13" s="8" t="n">
        <f aca="false">IFERROR(J13/I13,0)</f>
        <v>0.0169491525423729</v>
      </c>
      <c r="P13" s="7" t="n">
        <f aca="false">IFERROR(E13/J13,0)</f>
        <v>3306769</v>
      </c>
      <c r="Q13" s="10" t="n">
        <f aca="false">IFERROR(K13/E13,0)</f>
        <v>0.0481312725503354</v>
      </c>
    </row>
    <row r="14" customFormat="false" ht="15" hidden="false" customHeight="false" outlineLevel="0" collapsed="false">
      <c r="A14" s="6" t="s">
        <v>153</v>
      </c>
      <c r="B14" s="6" t="s">
        <v>73</v>
      </c>
      <c r="C14" s="6" t="s">
        <v>74</v>
      </c>
      <c r="D14" s="6" t="n">
        <v>54</v>
      </c>
      <c r="E14" s="7" t="n">
        <f aca="false">SUMIFS('Raw Data'!$I:$I,'Raw Data'!$A:$A,$B14,'Raw Data'!$B:$B,$C14)</f>
        <v>10666202</v>
      </c>
      <c r="F14" s="9" t="n">
        <f aca="false">SUMIFS('Raw Data'!$F:$F,'Raw Data'!$A:$A,$B14,'Raw Data'!$B:$B,$C14)</f>
        <v>499852</v>
      </c>
      <c r="G14" s="9" t="n">
        <f aca="false">SUMIFS('Raw Data'!$G:$G,'Raw Data'!$A:$A,$B14,'Raw Data'!$B:$B,$C14)</f>
        <v>583832</v>
      </c>
      <c r="H14" s="9" t="n">
        <f aca="false">SUMIFS('Raw Data'!$J:$J,'Raw Data'!$A:$A,$B14,'Raw Data'!$B:$B,$C14)</f>
        <v>13399</v>
      </c>
      <c r="I14" s="9" t="n">
        <f aca="false">SUMIFS('Raw Data'!$M:$M,'Raw Data'!$A:$A,$B14,'Raw Data'!$B:$B,$C14)</f>
        <v>1374</v>
      </c>
      <c r="J14" s="9" t="n">
        <f aca="false">SUMIFS('Raw Data'!$K:$K,'Raw Data'!$A:$A,$B14,'Raw Data'!$B:$B,$C14)</f>
        <v>116</v>
      </c>
      <c r="K14" s="7" t="n">
        <f aca="false">SUMIFS('Raw Data'!$L:$L,'Raw Data'!$A:$A,$B14,'Raw Data'!$B:$B,$C14)</f>
        <v>21756098</v>
      </c>
      <c r="L14" s="7" t="n">
        <f aca="false">IFERROR(E14/G14*1000,0)</f>
        <v>18269.3000726236</v>
      </c>
      <c r="M14" s="7" t="n">
        <f aca="false">IFERROR(E14/H14,0)</f>
        <v>796.044630196283</v>
      </c>
      <c r="N14" s="8" t="n">
        <f aca="false">IFERROR(I14/H14,0)</f>
        <v>0.102544966042242</v>
      </c>
      <c r="O14" s="8" t="n">
        <f aca="false">IFERROR(J14/I14,0)</f>
        <v>0.0844250363901019</v>
      </c>
      <c r="P14" s="7" t="n">
        <f aca="false">IFERROR(E14/J14,0)</f>
        <v>91950.0172413793</v>
      </c>
      <c r="Q14" s="10" t="n">
        <f aca="false">IFERROR(K14/E14,0)</f>
        <v>2.03972304293506</v>
      </c>
    </row>
    <row r="15" customFormat="false" ht="15" hidden="false" customHeight="false" outlineLevel="0" collapsed="false">
      <c r="A15" s="6" t="s">
        <v>153</v>
      </c>
      <c r="B15" s="6" t="s">
        <v>93</v>
      </c>
      <c r="C15" s="6" t="s">
        <v>94</v>
      </c>
      <c r="D15" s="6" t="n">
        <v>19</v>
      </c>
      <c r="E15" s="7" t="n">
        <f aca="false">SUMIFS('Raw Data'!$I:$I,'Raw Data'!$A:$A,$B15,'Raw Data'!$B:$B,$C15)</f>
        <v>394367</v>
      </c>
      <c r="F15" s="9" t="n">
        <f aca="false">SUMIFS('Raw Data'!$F:$F,'Raw Data'!$A:$A,$B15,'Raw Data'!$B:$B,$C15)</f>
        <v>6337</v>
      </c>
      <c r="G15" s="9" t="n">
        <f aca="false">SUMIFS('Raw Data'!$G:$G,'Raw Data'!$A:$A,$B15,'Raw Data'!$B:$B,$C15)</f>
        <v>11846</v>
      </c>
      <c r="H15" s="9" t="n">
        <f aca="false">SUMIFS('Raw Data'!$J:$J,'Raw Data'!$A:$A,$B15,'Raw Data'!$B:$B,$C15)</f>
        <v>147</v>
      </c>
      <c r="I15" s="9" t="n">
        <f aca="false">SUMIFS('Raw Data'!$M:$M,'Raw Data'!$A:$A,$B15,'Raw Data'!$B:$B,$C15)</f>
        <v>23</v>
      </c>
      <c r="J15" s="9" t="n">
        <f aca="false">SUMIFS('Raw Data'!$K:$K,'Raw Data'!$A:$A,$B15,'Raw Data'!$B:$B,$C15)</f>
        <v>2</v>
      </c>
      <c r="K15" s="7" t="n">
        <f aca="false">SUMIFS('Raw Data'!$L:$L,'Raw Data'!$A:$A,$B15,'Raw Data'!$B:$B,$C15)</f>
        <v>387657</v>
      </c>
      <c r="L15" s="7" t="n">
        <f aca="false">IFERROR(E15/G15*1000,0)</f>
        <v>33291.1531318589</v>
      </c>
      <c r="M15" s="7" t="n">
        <f aca="false">IFERROR(E15/H15,0)</f>
        <v>2682.76870748299</v>
      </c>
      <c r="N15" s="8" t="n">
        <f aca="false">IFERROR(I15/H15,0)</f>
        <v>0.156462585034014</v>
      </c>
      <c r="O15" s="8" t="n">
        <f aca="false">IFERROR(J15/I15,0)</f>
        <v>0.0869565217391304</v>
      </c>
      <c r="P15" s="7" t="n">
        <f aca="false">IFERROR(E15/J15,0)</f>
        <v>197183.5</v>
      </c>
      <c r="Q15" s="10" t="n">
        <f aca="false">IFERROR(K15/E15,0)</f>
        <v>0.982985391779738</v>
      </c>
    </row>
    <row r="16" customFormat="false" ht="15" hidden="false" customHeight="false" outlineLevel="0" collapsed="false">
      <c r="A16" s="6" t="s">
        <v>153</v>
      </c>
      <c r="B16" s="6" t="s">
        <v>93</v>
      </c>
      <c r="C16" s="6" t="s">
        <v>95</v>
      </c>
      <c r="D16" s="6" t="n">
        <v>19</v>
      </c>
      <c r="E16" s="7" t="n">
        <f aca="false">SUMIFS('Raw Data'!$I:$I,'Raw Data'!$A:$A,$B16,'Raw Data'!$B:$B,$C16)</f>
        <v>1984194</v>
      </c>
      <c r="F16" s="9" t="n">
        <f aca="false">SUMIFS('Raw Data'!$F:$F,'Raw Data'!$A:$A,$B16,'Raw Data'!$B:$B,$C16)</f>
        <v>61738</v>
      </c>
      <c r="G16" s="9" t="n">
        <f aca="false">SUMIFS('Raw Data'!$G:$G,'Raw Data'!$A:$A,$B16,'Raw Data'!$B:$B,$C16)</f>
        <v>117570</v>
      </c>
      <c r="H16" s="9" t="n">
        <f aca="false">SUMIFS('Raw Data'!$J:$J,'Raw Data'!$A:$A,$B16,'Raw Data'!$B:$B,$C16)</f>
        <v>1768</v>
      </c>
      <c r="I16" s="9" t="n">
        <f aca="false">SUMIFS('Raw Data'!$M:$M,'Raw Data'!$A:$A,$B16,'Raw Data'!$B:$B,$C16)</f>
        <v>78</v>
      </c>
      <c r="J16" s="9" t="n">
        <f aca="false">SUMIFS('Raw Data'!$K:$K,'Raw Data'!$A:$A,$B16,'Raw Data'!$B:$B,$C16)</f>
        <v>1</v>
      </c>
      <c r="K16" s="7" t="n">
        <f aca="false">SUMIFS('Raw Data'!$L:$L,'Raw Data'!$A:$A,$B16,'Raw Data'!$B:$B,$C16)</f>
        <v>193171</v>
      </c>
      <c r="L16" s="7" t="n">
        <f aca="false">IFERROR(E16/G16*1000,0)</f>
        <v>16876.7032406226</v>
      </c>
      <c r="M16" s="7" t="n">
        <f aca="false">IFERROR(E16/H16,0)</f>
        <v>1122.28167420814</v>
      </c>
      <c r="N16" s="8" t="n">
        <f aca="false">IFERROR(I16/H16,0)</f>
        <v>0.0441176470588235</v>
      </c>
      <c r="O16" s="8" t="n">
        <f aca="false">IFERROR(J16/I16,0)</f>
        <v>0.0128205128205128</v>
      </c>
      <c r="P16" s="7" t="n">
        <f aca="false">IFERROR(E16/J16,0)</f>
        <v>1984194</v>
      </c>
      <c r="Q16" s="10" t="n">
        <f aca="false">IFERROR(K16/E16,0)</f>
        <v>0.0973548957410415</v>
      </c>
    </row>
    <row r="17" customFormat="false" ht="15" hidden="false" customHeight="false" outlineLevel="0" collapsed="false">
      <c r="A17" s="6" t="s">
        <v>153</v>
      </c>
      <c r="B17" s="6" t="s">
        <v>93</v>
      </c>
      <c r="C17" s="6" t="s">
        <v>96</v>
      </c>
      <c r="D17" s="6" t="n">
        <v>4</v>
      </c>
      <c r="E17" s="7" t="n">
        <f aca="false">SUMIFS('Raw Data'!$I:$I,'Raw Data'!$A:$A,$B17,'Raw Data'!$B:$B,$C17)</f>
        <v>343979</v>
      </c>
      <c r="F17" s="9" t="n">
        <f aca="false">SUMIFS('Raw Data'!$F:$F,'Raw Data'!$A:$A,$B17,'Raw Data'!$B:$B,$C17)</f>
        <v>30278</v>
      </c>
      <c r="G17" s="9" t="n">
        <f aca="false">SUMIFS('Raw Data'!$G:$G,'Raw Data'!$A:$A,$B17,'Raw Data'!$B:$B,$C17)</f>
        <v>38109</v>
      </c>
      <c r="H17" s="9" t="n">
        <f aca="false">SUMIFS('Raw Data'!$J:$J,'Raw Data'!$A:$A,$B17,'Raw Data'!$B:$B,$C17)</f>
        <v>359</v>
      </c>
      <c r="I17" s="9" t="n">
        <f aca="false">SUMIFS('Raw Data'!$M:$M,'Raw Data'!$A:$A,$B17,'Raw Data'!$B:$B,$C17)</f>
        <v>24</v>
      </c>
      <c r="J17" s="9" t="n">
        <f aca="false">SUMIFS('Raw Data'!$K:$K,'Raw Data'!$A:$A,$B17,'Raw Data'!$B:$B,$C17)</f>
        <v>2</v>
      </c>
      <c r="K17" s="7" t="n">
        <f aca="false">SUMIFS('Raw Data'!$L:$L,'Raw Data'!$A:$A,$B17,'Raw Data'!$B:$B,$C17)</f>
        <v>402223</v>
      </c>
      <c r="L17" s="7" t="n">
        <f aca="false">IFERROR(E17/G17*1000,0)</f>
        <v>9026.18803957071</v>
      </c>
      <c r="M17" s="7" t="n">
        <f aca="false">IFERROR(E17/H17,0)</f>
        <v>958.158774373259</v>
      </c>
      <c r="N17" s="8" t="n">
        <f aca="false">IFERROR(I17/H17,0)</f>
        <v>0.0668523676880223</v>
      </c>
      <c r="O17" s="8" t="n">
        <f aca="false">IFERROR(J17/I17,0)</f>
        <v>0.0833333333333333</v>
      </c>
      <c r="P17" s="7" t="n">
        <f aca="false">IFERROR(E17/J17,0)</f>
        <v>171989.5</v>
      </c>
      <c r="Q17" s="10" t="n">
        <f aca="false">IFERROR(K17/E17,0)</f>
        <v>1.16932429014562</v>
      </c>
    </row>
    <row r="18" customFormat="false" ht="15" hidden="false" customHeight="false" outlineLevel="0" collapsed="false">
      <c r="A18" s="17" t="s">
        <v>154</v>
      </c>
      <c r="B18" s="17"/>
      <c r="C18" s="17"/>
      <c r="D18" s="17"/>
      <c r="E18" s="5" t="n">
        <f aca="false">SUM(E5:E17)</f>
        <v>42838221</v>
      </c>
      <c r="F18" s="18" t="n">
        <f aca="false">SUM(F5:F17)</f>
        <v>15824357</v>
      </c>
      <c r="G18" s="18" t="n">
        <f aca="false">SUM(G5:G17)</f>
        <v>17086699</v>
      </c>
      <c r="H18" s="18" t="n">
        <f aca="false">SUM(H5:H17)</f>
        <v>135976</v>
      </c>
      <c r="I18" s="18" t="n">
        <f aca="false">SUM(I5:I17)</f>
        <v>1837</v>
      </c>
      <c r="J18" s="18" t="n">
        <f aca="false">SUM(J5:J17)</f>
        <v>124</v>
      </c>
      <c r="K18" s="5" t="n">
        <f aca="false">SUM(K5:K17)</f>
        <v>23276290</v>
      </c>
      <c r="L18" s="5" t="n">
        <f aca="false">IFERROR(E18/G18*1000,0)</f>
        <v>2507.10924327748</v>
      </c>
      <c r="M18" s="5" t="n">
        <f aca="false">IFERROR(E18/H18,0)</f>
        <v>315.042514855563</v>
      </c>
      <c r="N18" s="19" t="n">
        <f aca="false">IFERROR(I18/H18,0)</f>
        <v>0.013509737012414</v>
      </c>
      <c r="O18" s="19" t="n">
        <f aca="false">IFERROR(J18/I18,0)</f>
        <v>0.0675013609145346</v>
      </c>
      <c r="P18" s="5" t="n">
        <f aca="false">IFERROR(E18/J18,0)</f>
        <v>345469.524193548</v>
      </c>
      <c r="Q18" s="20" t="n">
        <f aca="false">IFERROR(K18/E18,0)</f>
        <v>0.543353329261736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8"/>
    <col collapsed="false" customWidth="true" hidden="false" outlineLevel="0" max="3" min="3" style="0" width="26"/>
    <col collapsed="false" customWidth="true" hidden="false" outlineLevel="0" max="4" min="4" style="0" width="16"/>
    <col collapsed="false" customWidth="true" hidden="false" outlineLevel="0" max="5" min="5" style="0" width="20"/>
  </cols>
  <sheetData>
    <row r="1" customFormat="false" ht="17.35" hidden="false" customHeight="false" outlineLevel="0" collapsed="false">
      <c r="A1" s="16" t="s">
        <v>207</v>
      </c>
    </row>
    <row r="2" customFormat="false" ht="15" hidden="false" customHeight="false" outlineLevel="0" collapsed="false">
      <c r="A2" s="2" t="s">
        <v>208</v>
      </c>
    </row>
    <row r="4" customFormat="false" ht="31.5" hidden="false" customHeight="true" outlineLevel="0" collapsed="false">
      <c r="A4" s="12" t="s">
        <v>209</v>
      </c>
      <c r="B4" s="12" t="s">
        <v>210</v>
      </c>
      <c r="C4" s="12" t="s">
        <v>211</v>
      </c>
      <c r="D4" s="12" t="s">
        <v>212</v>
      </c>
      <c r="E4" s="12" t="s">
        <v>213</v>
      </c>
    </row>
    <row r="5" customFormat="false" ht="15" hidden="false" customHeight="false" outlineLevel="0" collapsed="false">
      <c r="A5" s="6" t="s">
        <v>19</v>
      </c>
      <c r="B5" s="9" t="n">
        <f aca="false">'Objective Summary'!F8</f>
        <v>15824357</v>
      </c>
      <c r="C5" s="8"/>
      <c r="D5" s="24" t="n">
        <f aca="false">IFERROR(B5/$B$5,0)</f>
        <v>1</v>
      </c>
      <c r="E5" s="7" t="n">
        <f aca="false">IFERROR('Objective Summary'!$D$8/B5,0)</f>
        <v>2.7071065825929</v>
      </c>
    </row>
    <row r="6" customFormat="false" ht="15" hidden="false" customHeight="false" outlineLevel="0" collapsed="false">
      <c r="A6" s="6" t="s">
        <v>20</v>
      </c>
      <c r="B6" s="9" t="n">
        <f aca="false">'Objective Summary'!G8</f>
        <v>135976</v>
      </c>
      <c r="C6" s="8" t="n">
        <f aca="false">IFERROR(B6/B5,0)</f>
        <v>0.00859282939584844</v>
      </c>
      <c r="D6" s="24" t="n">
        <f aca="false">IFERROR(B6/$B$5,0)</f>
        <v>0.00859282939584844</v>
      </c>
      <c r="E6" s="7" t="n">
        <f aca="false">IFERROR('Objective Summary'!$D$8/B6,0)</f>
        <v>315.042514855563</v>
      </c>
    </row>
    <row r="7" customFormat="false" ht="15" hidden="false" customHeight="false" outlineLevel="0" collapsed="false">
      <c r="A7" s="6" t="s">
        <v>21</v>
      </c>
      <c r="B7" s="9" t="n">
        <f aca="false">'Objective Summary'!H8</f>
        <v>1837</v>
      </c>
      <c r="C7" s="8" t="n">
        <f aca="false">IFERROR(B7/B6,0)</f>
        <v>0.013509737012414</v>
      </c>
      <c r="D7" s="24" t="n">
        <f aca="false">IFERROR(B7/$B$5,0)</f>
        <v>0.000116086865330452</v>
      </c>
      <c r="E7" s="7" t="n">
        <f aca="false">IFERROR('Objective Summary'!$D$8/B7,0)</f>
        <v>23319.6630375612</v>
      </c>
    </row>
    <row r="8" customFormat="false" ht="15" hidden="false" customHeight="false" outlineLevel="0" collapsed="false">
      <c r="A8" s="6" t="s">
        <v>143</v>
      </c>
      <c r="B8" s="9" t="n">
        <f aca="false">'Objective Summary'!I8</f>
        <v>124</v>
      </c>
      <c r="C8" s="8" t="n">
        <f aca="false">IFERROR(B8/B7,0)</f>
        <v>0.0675013609145346</v>
      </c>
      <c r="D8" s="24" t="n">
        <f aca="false">IFERROR(B8/$B$5,0)</f>
        <v>7.83602139410783E-006</v>
      </c>
      <c r="E8" s="7" t="n">
        <f aca="false">IFERROR('Objective Summary'!$D$8/B8,0)</f>
        <v>345469.524193548</v>
      </c>
    </row>
    <row r="10" customFormat="false" ht="15" hidden="false" customHeight="false" outlineLevel="0" collapsed="false">
      <c r="A10" s="23" t="s">
        <v>214</v>
      </c>
    </row>
    <row r="11" customFormat="false" ht="15" hidden="false" customHeight="false" outlineLevel="0" collapsed="false">
      <c r="A11" s="6" t="s">
        <v>215</v>
      </c>
      <c r="B11" s="7" t="n">
        <f aca="false">SUM('Raw Data'!$N:$N)</f>
        <v>307837889</v>
      </c>
    </row>
    <row r="12" customFormat="false" ht="15" hidden="false" customHeight="false" outlineLevel="0" collapsed="false">
      <c r="A12" s="6" t="s">
        <v>216</v>
      </c>
      <c r="B12" s="7" t="n">
        <f aca="false">'Objective Summary'!J8</f>
        <v>23276290</v>
      </c>
    </row>
    <row r="13" customFormat="false" ht="15" hidden="false" customHeight="false" outlineLevel="0" collapsed="false">
      <c r="A13" s="6" t="s">
        <v>217</v>
      </c>
      <c r="B13" s="7" t="n">
        <f aca="false">B11-B12</f>
        <v>284561599</v>
      </c>
    </row>
    <row r="14" customFormat="false" ht="15" hidden="false" customHeight="false" outlineLevel="0" collapsed="false">
      <c r="A14" s="6" t="s">
        <v>218</v>
      </c>
      <c r="B14" s="8" t="n">
        <f aca="false">IFERROR(B12/B11,0)</f>
        <v>0.075612167415818</v>
      </c>
    </row>
    <row r="16" customFormat="false" ht="15" hidden="false" customHeight="false" outlineLevel="0" collapsed="false">
      <c r="A16" s="2" t="s">
        <v>219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2026-09-09T03:25:29Z</dcterms:created>
  <dc:creator>openpyxl</dc:creator>
  <dc:description/>
  <dc:language>en-US</dc:language>
  <cp:lastModifiedBy/>
  <dcterms:modified xsi:type="dcterms:W3CDTF">2026-09-09T03:25:29Z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