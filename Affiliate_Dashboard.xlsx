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2.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drawing1.xml" ContentType="application/vnd.openxmlformats-officedocument.drawing+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Dashboard" sheetId="1" state="visible" r:id="rId3"/>
    <sheet name="Data Affiliate" sheetId="2" state="visible" r:id="rId4"/>
    <sheet name="Referensi" sheetId="3" state="visible" r:id="rId5"/>
  </sheets>
  <definedNames>
    <definedName function="false" hidden="false" localSheetId="0" name="_xlnm.Print_Area" vbProcedure="false">Dashboard!$B$2:$G$49</definedName>
    <definedName function="false" hidden="false" localSheetId="1" name="_xlnm.Print_Titles" vbProcedure="false">'Data Affiliate'!$5:$5</definedName>
    <definedName function="false" hidden="true" localSheetId="1" name="_xlnm._FilterDatabase" vbProcedure="false">'Data Affiliate'!$A$5:$H$205</definedName>
  </definedName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D5" authorId="0">
      <text>
        <r>
          <rPr>
            <sz val="10"/>
            <rFont val="Arial"/>
            <family val="2"/>
          </rPr>
          <t xml:space="preserve">Ketik nomor lengkap dengan angka 0 di depan, contoh 081234567890. Kolom ini sudah diformat sebagai teks sehingga angka 0 di depan tidak hilang.</t>
        </r>
      </text>
    </comment>
    <comment ref="F5" authorId="0">
      <text>
        <r>
          <rPr>
            <sz val="10"/>
            <rFont val="Arial"/>
            <family val="2"/>
          </rPr>
          <t xml:space="preserve">Isi angka polos tanpa titik dan tanpa tulisan Rp, contoh 45750000. Format Rupiah muncul otomatis.</t>
        </r>
      </text>
    </comment>
    <comment ref="H5" authorId="0">
      <text>
        <r>
          <rPr>
            <sz val="10"/>
            <rFont val="Arial"/>
            <family val="2"/>
          </rPr>
          <t xml:space="preserve">Isi angka polos tanpa titik, contoh 128000. Dipakai untuk segmentasi tier di sheet Dashboard.</t>
        </r>
      </text>
    </comment>
  </commentList>
</comments>
</file>

<file path=xl/sharedStrings.xml><?xml version="1.0" encoding="utf-8"?>
<sst xmlns="http://schemas.openxmlformats.org/spreadsheetml/2006/main" count="100" uniqueCount="92">
  <si>
    <t xml:space="preserve">AFFILIATE DASHBOARD</t>
  </si>
  <si>
    <t xml:space="preserve">Ringkasan otomatis dari sheet Data Affiliate. Seluruh angka di halaman ini adalah rumus, jangan diketik manual.</t>
  </si>
  <si>
    <t xml:space="preserve">RINGKASAN UTAMA</t>
  </si>
  <si>
    <t xml:space="preserve">Metrik</t>
  </si>
  <si>
    <t xml:space="preserve">Nilai</t>
  </si>
  <si>
    <t xml:space="preserve">Keterangan</t>
  </si>
  <si>
    <t xml:space="preserve">Total Affiliate Terdata</t>
  </si>
  <si>
    <t xml:space="preserve">Jumlah baris yang sudah terisi nama.</t>
  </si>
  <si>
    <t xml:space="preserve">Total GMV Histori</t>
  </si>
  <si>
    <t xml:space="preserve">Penjumlahan seluruh GMV histori affiliate.</t>
  </si>
  <si>
    <t xml:space="preserve">Rata-rata GMV per Affiliate</t>
  </si>
  <si>
    <t xml:space="preserve">Total GMV dibagi jumlah affiliate terdata.</t>
  </si>
  <si>
    <t xml:space="preserve">GMV Histori Tertinggi</t>
  </si>
  <si>
    <t xml:space="preserve">Nilai GMV terbesar dalam database.</t>
  </si>
  <si>
    <t xml:space="preserve">Affiliate dengan GMV Tertinggi</t>
  </si>
  <si>
    <t xml:space="preserve">Nama pemilik GMV tertinggi.</t>
  </si>
  <si>
    <t xml:space="preserve">Total Followers</t>
  </si>
  <si>
    <t xml:space="preserve">Total jangkauan followers seluruh affiliate.</t>
  </si>
  <si>
    <t xml:space="preserve">Rata-rata Followers</t>
  </si>
  <si>
    <t xml:space="preserve">Total followers dibagi jumlah affiliate terdata.</t>
  </si>
  <si>
    <t xml:space="preserve">Sudah Dikirim Produk</t>
  </si>
  <si>
    <t xml:space="preserve">Baris yang kolom Product yang Dikirim sudah terisi.</t>
  </si>
  <si>
    <t xml:space="preserve">Belum Dikirim Produk</t>
  </si>
  <si>
    <t xml:space="preserve">Affiliate terdata yang belum menerima kiriman produk.</t>
  </si>
  <si>
    <t xml:space="preserve">Belum Dihubungi</t>
  </si>
  <si>
    <t xml:space="preserve">Nama sudah ada tetapi channel komunikasi masih kosong.</t>
  </si>
  <si>
    <t xml:space="preserve">BREAKDOWN CHANNEL KOMUNIKASI</t>
  </si>
  <si>
    <t xml:space="preserve">Channel</t>
  </si>
  <si>
    <t xml:space="preserve">Jumlah Affiliate</t>
  </si>
  <si>
    <t xml:space="preserve">Rata-rata GMV</t>
  </si>
  <si>
    <t xml:space="preserve">% Kontribusi GMV</t>
  </si>
  <si>
    <t xml:space="preserve">TOTAL / TERISI</t>
  </si>
  <si>
    <t xml:space="preserve">Catatan: baris yang kolom channelnya masih kosong tidak masuk hitungan tabel ini. Lihat metrik Belum Dihubungi di ringkasan utama.</t>
  </si>
  <si>
    <t xml:space="preserve">SEGMENTASI JUMLAH FOLLOWERS</t>
  </si>
  <si>
    <t xml:space="preserve">Tier</t>
  </si>
  <si>
    <t xml:space="preserve">Rentang Followers</t>
  </si>
  <si>
    <t xml:space="preserve">TOTAL</t>
  </si>
  <si>
    <t xml:space="preserve">Seluruh tier</t>
  </si>
  <si>
    <t xml:space="preserve">Batas tiap tier diatur di sheet Referensi kolom E dan F, silakan ubah bila definisi tier berbeda.</t>
  </si>
  <si>
    <t xml:space="preserve">LEGENDA DAN CARA PAKAI</t>
  </si>
  <si>
    <t xml:space="preserve">Sel kuning</t>
  </si>
  <si>
    <t xml:space="preserve">Baris contoh di sheet Data Affiliate baris 6. Timpa dengan data asli Anda.</t>
  </si>
  <si>
    <t xml:space="preserve">Sel putih</t>
  </si>
  <si>
    <t xml:space="preserve">Sel input manual. Isi kolom B sampai H sheet Data Affiliate mulai baris 6 sampai 205.</t>
  </si>
  <si>
    <t xml:space="preserve">Sel abu-abu</t>
  </si>
  <si>
    <t xml:space="preserve">Kolom No pada sheet Data Affiliate. Berisi rumus penomoran otomatis, jangan diketik.</t>
  </si>
  <si>
    <t xml:space="preserve">Angka hijau</t>
  </si>
  <si>
    <t xml:space="preserve">Hasil rumus otomatis di sheet Dashboard dan angka yang menarik data dari sheet lain.</t>
  </si>
  <si>
    <t xml:space="preserve">Angka biru</t>
  </si>
  <si>
    <t xml:space="preserve">Nilai pengaturan di sheet Referensi seperti daftar channel dan batas tier followers.</t>
  </si>
  <si>
    <t xml:space="preserve">Asumsi yang dipakai file ini: kapasitas tabel 200 baris (Data Affiliate baris 6 sampai 205), GMV Histori dalam Rupiah penuh tanpa pemisah ribuan saat diketik, dan tier followers memakai standar umum industri (Nano, Micro, Mid, Macro, Mega) yang batasnya bisa diubah sendiri di sheet Referensi. Daftar channel komunikasi disusun berdasarkan kanal yang lazim dipakai tim affiliate di Indonesia, bukan angka resmi dari sumber eksternal.</t>
  </si>
  <si>
    <t xml:space="preserve">DATABASE AFFILIATE</t>
  </si>
  <si>
    <t xml:space="preserve">Isi tabel di bawah ini. Semua ringkasan di sheet Dashboard terhitung otomatis dari data ini.</t>
  </si>
  <si>
    <t xml:space="preserve">Cara pakai: kolom B sampai H diisi manual mulai baris 6. Kolom A (No) berisi rumus otomatis, jangan diketik. Baris 6 adalah baris contoh, silakan timpa dengan data asli. Kapasitas tabel 200 baris (baris 6 sampai 205).</t>
  </si>
  <si>
    <t xml:space="preserve">No</t>
  </si>
  <si>
    <t xml:space="preserve">Nama</t>
  </si>
  <si>
    <t xml:space="preserve">Nama Akun</t>
  </si>
  <si>
    <t xml:space="preserve">Nomor Whatsapp</t>
  </si>
  <si>
    <t xml:space="preserve">Dihubungi Lewat Apa?</t>
  </si>
  <si>
    <t xml:space="preserve">GMV Histori (Rp)</t>
  </si>
  <si>
    <t xml:space="preserve">Product yang Dikirim</t>
  </si>
  <si>
    <t xml:space="preserve">Jumlah Followers</t>
  </si>
  <si>
    <t xml:space="preserve">Rina Kartika</t>
  </si>
  <si>
    <t xml:space="preserve">@rinakartika.id</t>
  </si>
  <si>
    <t xml:space="preserve">081234567890</t>
  </si>
  <si>
    <t xml:space="preserve">Instagram DM</t>
  </si>
  <si>
    <t xml:space="preserve">Tote Bag Series A (2 pcs)</t>
  </si>
  <si>
    <t xml:space="preserve">REFERENSI DAN PENGATURAN</t>
  </si>
  <si>
    <t xml:space="preserve">Pilihan Channel Komunikasi</t>
  </si>
  <si>
    <t xml:space="preserve">Segmentasi Jumlah Followers</t>
  </si>
  <si>
    <t xml:space="preserve">WhatsApp</t>
  </si>
  <si>
    <t xml:space="preserve">Keterangan Rentang</t>
  </si>
  <si>
    <t xml:space="preserve">Batas Bawah</t>
  </si>
  <si>
    <t xml:space="preserve">Batas Atas</t>
  </si>
  <si>
    <t xml:space="preserve">Nano</t>
  </si>
  <si>
    <t xml:space="preserve">Di bawah 10.000</t>
  </si>
  <si>
    <t xml:space="preserve">TikTok DM</t>
  </si>
  <si>
    <t xml:space="preserve">Micro</t>
  </si>
  <si>
    <t xml:space="preserve">10.000 sampai 49.999</t>
  </si>
  <si>
    <t xml:space="preserve">Email</t>
  </si>
  <si>
    <t xml:space="preserve">Mid</t>
  </si>
  <si>
    <t xml:space="preserve">50.000 sampai 249.999</t>
  </si>
  <si>
    <t xml:space="preserve">Telepon</t>
  </si>
  <si>
    <t xml:space="preserve">Macro</t>
  </si>
  <si>
    <t xml:space="preserve">250.000 sampai 999.999</t>
  </si>
  <si>
    <t xml:space="preserve">Shopee Chat</t>
  </si>
  <si>
    <t xml:space="preserve">Mega</t>
  </si>
  <si>
    <t xml:space="preserve">1.000.000 ke atas</t>
  </si>
  <si>
    <t xml:space="preserve">Tokopedia Chat</t>
  </si>
  <si>
    <t xml:space="preserve">Offline / Event</t>
  </si>
  <si>
    <t xml:space="preserve">Catatan: angka biru adalah nilai yang boleh diubah manual. Mengubah batas tier di sini otomatis memperbarui perhitungan di sheet Dashboard.</t>
  </si>
  <si>
    <t xml:space="preserve">Catatan: menambah atau mengganti nama channel di kolom A akan otomatis terbaca oleh dropdown dan oleh tabel breakdown di sheet Dashboard.</t>
  </si>
</sst>
</file>

<file path=xl/styles.xml><?xml version="1.0" encoding="utf-8"?>
<styleSheet xmlns="http://schemas.openxmlformats.org/spreadsheetml/2006/main">
  <numFmts count="5">
    <numFmt numFmtId="164" formatCode="General"/>
    <numFmt numFmtId="165" formatCode="#,##0;\-#,##0;\-"/>
    <numFmt numFmtId="166" formatCode="&quot;Rp &quot;#,##0;&quot;(Rp &quot;#,##0\);\-"/>
    <numFmt numFmtId="167" formatCode="0.0%"/>
    <numFmt numFmtId="168" formatCode="@"/>
  </numFmts>
  <fonts count="23">
    <font>
      <sz val="11"/>
      <color theme="1"/>
      <name val="Calibri"/>
      <family val="2"/>
      <charset val="1"/>
    </font>
    <font>
      <sz val="10"/>
      <name val="Arial"/>
      <family val="0"/>
    </font>
    <font>
      <sz val="10"/>
      <name val="Arial"/>
      <family val="0"/>
    </font>
    <font>
      <sz val="10"/>
      <name val="Arial"/>
      <family val="0"/>
    </font>
    <font>
      <b val="true"/>
      <sz val="16"/>
      <color rgb="FFFFFFFF"/>
      <name val="Arial"/>
      <family val="0"/>
      <charset val="1"/>
    </font>
    <font>
      <i val="true"/>
      <sz val="10"/>
      <color rgb="FF595959"/>
      <name val="Arial"/>
      <family val="0"/>
      <charset val="1"/>
    </font>
    <font>
      <b val="true"/>
      <sz val="11"/>
      <color rgb="FFFFFFFF"/>
      <name val="Arial"/>
      <family val="0"/>
      <charset val="1"/>
    </font>
    <font>
      <b val="true"/>
      <sz val="10"/>
      <color rgb="FFFFFFFF"/>
      <name val="Arial"/>
      <family val="0"/>
      <charset val="1"/>
    </font>
    <font>
      <b val="true"/>
      <sz val="10"/>
      <name val="Arial"/>
      <family val="0"/>
      <charset val="1"/>
    </font>
    <font>
      <b val="true"/>
      <sz val="11"/>
      <color rgb="FF006100"/>
      <name val="Arial"/>
      <family val="0"/>
      <charset val="1"/>
    </font>
    <font>
      <sz val="9"/>
      <color rgb="FF595959"/>
      <name val="Arial"/>
      <family val="0"/>
      <charset val="1"/>
    </font>
    <font>
      <sz val="10"/>
      <color rgb="FF008000"/>
      <name val="Arial"/>
      <family val="0"/>
      <charset val="1"/>
    </font>
    <font>
      <sz val="10"/>
      <name val="Arial"/>
      <family val="0"/>
      <charset val="1"/>
    </font>
    <font>
      <b val="true"/>
      <sz val="10"/>
      <color rgb="FF000000"/>
      <name val="Arial"/>
      <family val="0"/>
      <charset val="1"/>
    </font>
    <font>
      <i val="true"/>
      <sz val="9"/>
      <color rgb="FF595959"/>
      <name val="Arial"/>
      <family val="0"/>
      <charset val="1"/>
    </font>
    <font>
      <b val="true"/>
      <sz val="10"/>
      <color rgb="FF008000"/>
      <name val="Arial"/>
      <family val="0"/>
      <charset val="1"/>
    </font>
    <font>
      <b val="true"/>
      <sz val="10"/>
      <color rgb="FF595959"/>
      <name val="Arial"/>
      <family val="0"/>
      <charset val="1"/>
    </font>
    <font>
      <b val="true"/>
      <sz val="10"/>
      <color rgb="FF006100"/>
      <name val="Arial"/>
      <family val="0"/>
      <charset val="1"/>
    </font>
    <font>
      <b val="true"/>
      <sz val="10"/>
      <color rgb="FF0000FF"/>
      <name val="Arial"/>
      <family val="0"/>
      <charset val="1"/>
    </font>
    <font>
      <sz val="9"/>
      <color rgb="FF806000"/>
      <name val="Arial"/>
      <family val="0"/>
      <charset val="1"/>
    </font>
    <font>
      <sz val="10"/>
      <name val="Arial"/>
      <family val="2"/>
    </font>
    <font>
      <sz val="10"/>
      <color rgb="FF0000FF"/>
      <name val="Arial"/>
      <family val="0"/>
      <charset val="1"/>
    </font>
    <font>
      <sz val="10"/>
      <color rgb="FF000000"/>
      <name val="Arial"/>
      <family val="0"/>
      <charset val="1"/>
    </font>
  </fonts>
  <fills count="9">
    <fill>
      <patternFill patternType="none"/>
    </fill>
    <fill>
      <patternFill patternType="gray125"/>
    </fill>
    <fill>
      <patternFill patternType="solid">
        <fgColor rgb="FF1F3864"/>
        <bgColor rgb="FF333333"/>
      </patternFill>
    </fill>
    <fill>
      <patternFill patternType="solid">
        <fgColor rgb="FF2E5C8A"/>
        <bgColor rgb="FF595959"/>
      </patternFill>
    </fill>
    <fill>
      <patternFill patternType="solid">
        <fgColor rgb="FFF2F6FB"/>
        <bgColor rgb="FFFFFFFF"/>
      </patternFill>
    </fill>
    <fill>
      <patternFill patternType="solid">
        <fgColor rgb="FFFFFFFF"/>
        <bgColor rgb="FFF2F6FB"/>
      </patternFill>
    </fill>
    <fill>
      <patternFill patternType="solid">
        <fgColor rgb="FFDCE6F1"/>
        <bgColor rgb="FFE8E8E8"/>
      </patternFill>
    </fill>
    <fill>
      <patternFill patternType="solid">
        <fgColor rgb="FFFFF2CC"/>
        <bgColor rgb="FFF2F6FB"/>
      </patternFill>
    </fill>
    <fill>
      <patternFill patternType="solid">
        <fgColor rgb="FFE8E8E8"/>
        <bgColor rgb="FFDCE6F1"/>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left" vertical="center" textRotation="0" wrapText="false" indent="1" shrinkToFit="false"/>
      <protection locked="true" hidden="false"/>
    </xf>
    <xf numFmtId="164" fontId="5" fillId="0" borderId="0" xfId="0" applyFont="true" applyBorder="true" applyAlignment="false" applyProtection="false">
      <alignment horizontal="general" vertical="bottom" textRotation="0" wrapText="false" indent="0" shrinkToFit="false"/>
      <protection locked="true" hidden="false"/>
    </xf>
    <xf numFmtId="164" fontId="6" fillId="3" borderId="0" xfId="0" applyFont="true" applyBorder="true" applyAlignment="true" applyProtection="false">
      <alignment horizontal="left" vertical="center" textRotation="0" wrapText="false" indent="1" shrinkToFit="false"/>
      <protection locked="true" hidden="false"/>
    </xf>
    <xf numFmtId="164" fontId="7" fillId="3" borderId="1" xfId="0" applyFont="true" applyBorder="true" applyAlignment="true" applyProtection="false">
      <alignment horizontal="center" vertical="center" textRotation="0" wrapText="true" indent="0" shrinkToFit="false"/>
      <protection locked="true" hidden="false"/>
    </xf>
    <xf numFmtId="164" fontId="8" fillId="4" borderId="1" xfId="0" applyFont="true" applyBorder="true" applyAlignment="true" applyProtection="false">
      <alignment horizontal="general" vertical="center" textRotation="0" wrapText="false" indent="1" shrinkToFit="false"/>
      <protection locked="true" hidden="false"/>
    </xf>
    <xf numFmtId="165" fontId="9" fillId="4" borderId="1" xfId="0" applyFont="true" applyBorder="true" applyAlignment="true" applyProtection="false">
      <alignment horizontal="right" vertical="center" textRotation="0" wrapText="false" indent="1" shrinkToFit="false"/>
      <protection locked="true" hidden="false"/>
    </xf>
    <xf numFmtId="164" fontId="10" fillId="4" borderId="1" xfId="0" applyFont="true" applyBorder="true" applyAlignment="true" applyProtection="false">
      <alignment horizontal="general" vertical="center" textRotation="0" wrapText="false" indent="1" shrinkToFit="false"/>
      <protection locked="true" hidden="false"/>
    </xf>
    <xf numFmtId="164" fontId="8" fillId="5" borderId="1" xfId="0" applyFont="true" applyBorder="true" applyAlignment="true" applyProtection="false">
      <alignment horizontal="general" vertical="center" textRotation="0" wrapText="false" indent="1" shrinkToFit="false"/>
      <protection locked="true" hidden="false"/>
    </xf>
    <xf numFmtId="166" fontId="9" fillId="5" borderId="1" xfId="0" applyFont="true" applyBorder="true" applyAlignment="true" applyProtection="false">
      <alignment horizontal="right" vertical="center" textRotation="0" wrapText="false" indent="1" shrinkToFit="false"/>
      <protection locked="true" hidden="false"/>
    </xf>
    <xf numFmtId="164" fontId="10" fillId="5" borderId="1" xfId="0" applyFont="true" applyBorder="true" applyAlignment="true" applyProtection="false">
      <alignment horizontal="general" vertical="center" textRotation="0" wrapText="false" indent="1" shrinkToFit="false"/>
      <protection locked="true" hidden="false"/>
    </xf>
    <xf numFmtId="166" fontId="9" fillId="4" borderId="1" xfId="0" applyFont="true" applyBorder="true" applyAlignment="true" applyProtection="false">
      <alignment horizontal="right" vertical="center" textRotation="0" wrapText="false" indent="1" shrinkToFit="false"/>
      <protection locked="true" hidden="false"/>
    </xf>
    <xf numFmtId="164" fontId="9" fillId="4" borderId="1" xfId="0" applyFont="true" applyBorder="true" applyAlignment="true" applyProtection="false">
      <alignment horizontal="right" vertical="center" textRotation="0" wrapText="false" indent="1" shrinkToFit="false"/>
      <protection locked="true" hidden="false"/>
    </xf>
    <xf numFmtId="165" fontId="9" fillId="5" borderId="1" xfId="0" applyFont="true" applyBorder="true" applyAlignment="true" applyProtection="false">
      <alignment horizontal="right" vertical="center" textRotation="0" wrapText="false" indent="1" shrinkToFit="false"/>
      <protection locked="true" hidden="false"/>
    </xf>
    <xf numFmtId="164" fontId="11" fillId="4" borderId="1" xfId="0" applyFont="true" applyBorder="true" applyAlignment="true" applyProtection="false">
      <alignment horizontal="general" vertical="center" textRotation="0" wrapText="false" indent="1" shrinkToFit="false"/>
      <protection locked="true" hidden="false"/>
    </xf>
    <xf numFmtId="165" fontId="12" fillId="4" borderId="1" xfId="0" applyFont="true" applyBorder="true" applyAlignment="true" applyProtection="false">
      <alignment horizontal="right" vertical="center" textRotation="0" wrapText="false" indent="1" shrinkToFit="false"/>
      <protection locked="true" hidden="false"/>
    </xf>
    <xf numFmtId="166" fontId="12" fillId="4" borderId="1" xfId="0" applyFont="true" applyBorder="true" applyAlignment="true" applyProtection="false">
      <alignment horizontal="right" vertical="center" textRotation="0" wrapText="false" indent="1" shrinkToFit="false"/>
      <protection locked="true" hidden="false"/>
    </xf>
    <xf numFmtId="167" fontId="12" fillId="4" borderId="1" xfId="0" applyFont="true" applyBorder="true" applyAlignment="true" applyProtection="false">
      <alignment horizontal="right" vertical="center" textRotation="0" wrapText="false" indent="1" shrinkToFit="false"/>
      <protection locked="true" hidden="false"/>
    </xf>
    <xf numFmtId="164" fontId="11" fillId="5" borderId="1" xfId="0" applyFont="true" applyBorder="true" applyAlignment="true" applyProtection="false">
      <alignment horizontal="general" vertical="center" textRotation="0" wrapText="false" indent="1" shrinkToFit="false"/>
      <protection locked="true" hidden="false"/>
    </xf>
    <xf numFmtId="165" fontId="12" fillId="5" borderId="1" xfId="0" applyFont="true" applyBorder="true" applyAlignment="true" applyProtection="false">
      <alignment horizontal="right" vertical="center" textRotation="0" wrapText="false" indent="1" shrinkToFit="false"/>
      <protection locked="true" hidden="false"/>
    </xf>
    <xf numFmtId="166" fontId="12" fillId="5" borderId="1" xfId="0" applyFont="true" applyBorder="true" applyAlignment="true" applyProtection="false">
      <alignment horizontal="right" vertical="center" textRotation="0" wrapText="false" indent="1" shrinkToFit="false"/>
      <protection locked="true" hidden="false"/>
    </xf>
    <xf numFmtId="167" fontId="12" fillId="5" borderId="1" xfId="0" applyFont="true" applyBorder="true" applyAlignment="true" applyProtection="false">
      <alignment horizontal="right" vertical="center" textRotation="0" wrapText="false" indent="1" shrinkToFit="false"/>
      <protection locked="true" hidden="false"/>
    </xf>
    <xf numFmtId="164" fontId="13" fillId="6" borderId="1" xfId="0" applyFont="true" applyBorder="true" applyAlignment="true" applyProtection="false">
      <alignment horizontal="general" vertical="center" textRotation="0" wrapText="false" indent="1" shrinkToFit="false"/>
      <protection locked="true" hidden="false"/>
    </xf>
    <xf numFmtId="165" fontId="8" fillId="6" borderId="1" xfId="0" applyFont="true" applyBorder="true" applyAlignment="true" applyProtection="false">
      <alignment horizontal="right" vertical="center" textRotation="0" wrapText="false" indent="1" shrinkToFit="false"/>
      <protection locked="true" hidden="false"/>
    </xf>
    <xf numFmtId="166" fontId="8" fillId="6" borderId="1" xfId="0" applyFont="true" applyBorder="true" applyAlignment="true" applyProtection="false">
      <alignment horizontal="right" vertical="center" textRotation="0" wrapText="false" indent="1" shrinkToFit="false"/>
      <protection locked="true" hidden="false"/>
    </xf>
    <xf numFmtId="167" fontId="8" fillId="6" borderId="1" xfId="0" applyFont="true" applyBorder="true" applyAlignment="true" applyProtection="false">
      <alignment horizontal="right" vertical="center" textRotation="0" wrapText="false" indent="1" shrinkToFit="false"/>
      <protection locked="true" hidden="false"/>
    </xf>
    <xf numFmtId="164" fontId="14" fillId="0" borderId="0" xfId="0" applyFont="true" applyBorder="true" applyAlignment="false" applyProtection="false">
      <alignment horizontal="general" vertical="bottom" textRotation="0" wrapText="false" indent="0" shrinkToFit="false"/>
      <protection locked="true" hidden="false"/>
    </xf>
    <xf numFmtId="164" fontId="15" fillId="4" borderId="1" xfId="0" applyFont="true" applyBorder="true" applyAlignment="true" applyProtection="false">
      <alignment horizontal="general" vertical="center" textRotation="0" wrapText="false" indent="1" shrinkToFit="false"/>
      <protection locked="true" hidden="false"/>
    </xf>
    <xf numFmtId="164" fontId="15" fillId="5" borderId="1" xfId="0" applyFont="true" applyBorder="true" applyAlignment="true" applyProtection="false">
      <alignment horizontal="general" vertical="center" textRotation="0" wrapText="false" indent="1" shrinkToFit="false"/>
      <protection locked="true" hidden="false"/>
    </xf>
    <xf numFmtId="164" fontId="13" fillId="7" borderId="1" xfId="0" applyFont="true" applyBorder="true" applyAlignment="true" applyProtection="false">
      <alignment horizontal="center" vertical="center" textRotation="0" wrapText="false" indent="0" shrinkToFit="false"/>
      <protection locked="true" hidden="false"/>
    </xf>
    <xf numFmtId="164" fontId="12" fillId="0" borderId="1" xfId="0" applyFont="true" applyBorder="true" applyAlignment="true" applyProtection="false">
      <alignment horizontal="general" vertical="center" textRotation="0" wrapText="false" indent="1" shrinkToFit="false"/>
      <protection locked="true" hidden="false"/>
    </xf>
    <xf numFmtId="164" fontId="13" fillId="5" borderId="1" xfId="0" applyFont="true" applyBorder="true" applyAlignment="true" applyProtection="false">
      <alignment horizontal="center" vertical="center" textRotation="0" wrapText="false" indent="0" shrinkToFit="false"/>
      <protection locked="true" hidden="false"/>
    </xf>
    <xf numFmtId="164" fontId="16" fillId="8" borderId="1" xfId="0" applyFont="true" applyBorder="true" applyAlignment="true" applyProtection="false">
      <alignment horizontal="center" vertical="center" textRotation="0" wrapText="false" indent="0" shrinkToFit="false"/>
      <protection locked="true" hidden="false"/>
    </xf>
    <xf numFmtId="164" fontId="17" fillId="4" borderId="1" xfId="0" applyFont="true" applyBorder="true" applyAlignment="true" applyProtection="false">
      <alignment horizontal="center" vertical="center" textRotation="0" wrapText="false" indent="0" shrinkToFit="false"/>
      <protection locked="true" hidden="false"/>
    </xf>
    <xf numFmtId="164" fontId="18" fillId="4" borderId="1" xfId="0" applyFont="true" applyBorder="true" applyAlignment="true" applyProtection="false">
      <alignment horizontal="center" vertical="center" textRotation="0" wrapText="false" indent="0" shrinkToFit="false"/>
      <protection locked="true" hidden="false"/>
    </xf>
    <xf numFmtId="164" fontId="14" fillId="0" borderId="0" xfId="0" applyFont="true" applyBorder="true" applyAlignment="true" applyProtection="false">
      <alignment horizontal="general" vertical="top" textRotation="0" wrapText="true" indent="1" shrinkToFit="false"/>
      <protection locked="true" hidden="false"/>
    </xf>
    <xf numFmtId="164" fontId="19" fillId="7" borderId="0" xfId="0" applyFont="true" applyBorder="true" applyAlignment="true" applyProtection="false">
      <alignment horizontal="general" vertical="center" textRotation="0" wrapText="true" indent="1" shrinkToFit="false"/>
      <protection locked="true" hidden="false"/>
    </xf>
    <xf numFmtId="164" fontId="12" fillId="7" borderId="1" xfId="0" applyFont="true" applyBorder="true" applyAlignment="true" applyProtection="false">
      <alignment horizontal="left" vertical="center" textRotation="0" wrapText="false" indent="0" shrinkToFit="false"/>
      <protection locked="true" hidden="false"/>
    </xf>
    <xf numFmtId="168" fontId="12" fillId="7" borderId="1" xfId="0" applyFont="true" applyBorder="true" applyAlignment="true" applyProtection="false">
      <alignment horizontal="left" vertical="center" textRotation="0" wrapText="false" indent="0" shrinkToFit="false"/>
      <protection locked="true" hidden="false"/>
    </xf>
    <xf numFmtId="166" fontId="12" fillId="7" borderId="1" xfId="0" applyFont="true" applyBorder="true" applyAlignment="true" applyProtection="false">
      <alignment horizontal="right" vertical="center" textRotation="0" wrapText="false" indent="0" shrinkToFit="false"/>
      <protection locked="true" hidden="false"/>
    </xf>
    <xf numFmtId="164" fontId="12" fillId="7" borderId="1" xfId="0" applyFont="true" applyBorder="true" applyAlignment="true" applyProtection="false">
      <alignment horizontal="left" vertical="center" textRotation="0" wrapText="true" indent="0" shrinkToFit="false"/>
      <protection locked="true" hidden="false"/>
    </xf>
    <xf numFmtId="165" fontId="12" fillId="7"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false" indent="0" shrinkToFit="false"/>
      <protection locked="true" hidden="false"/>
    </xf>
    <xf numFmtId="168" fontId="12" fillId="5" borderId="1" xfId="0" applyFont="true" applyBorder="true" applyAlignment="true" applyProtection="false">
      <alignment horizontal="left" vertical="center" textRotation="0" wrapText="false" indent="0" shrinkToFit="false"/>
      <protection locked="true" hidden="false"/>
    </xf>
    <xf numFmtId="166" fontId="12" fillId="5" borderId="1" xfId="0" applyFont="true" applyBorder="true" applyAlignment="true" applyProtection="false">
      <alignment horizontal="right" vertical="center" textRotation="0" wrapText="false" indent="0" shrinkToFit="false"/>
      <protection locked="true" hidden="false"/>
    </xf>
    <xf numFmtId="164" fontId="12" fillId="5" borderId="1" xfId="0" applyFont="true" applyBorder="true" applyAlignment="true" applyProtection="false">
      <alignment horizontal="left" vertical="center" textRotation="0" wrapText="true" indent="0" shrinkToFit="false"/>
      <protection locked="true" hidden="false"/>
    </xf>
    <xf numFmtId="165" fontId="12" fillId="5" borderId="1" xfId="0" applyFont="true" applyBorder="true" applyAlignment="true" applyProtection="false">
      <alignment horizontal="right" vertical="center" textRotation="0" wrapText="false" indent="0" shrinkToFit="false"/>
      <protection locked="true" hidden="false"/>
    </xf>
    <xf numFmtId="164" fontId="6" fillId="3" borderId="0" xfId="0" applyFont="true" applyBorder="false" applyAlignment="true" applyProtection="false">
      <alignment horizontal="left" vertical="center" textRotation="0" wrapText="false" indent="1" shrinkToFit="false"/>
      <protection locked="true" hidden="false"/>
    </xf>
    <xf numFmtId="164" fontId="21" fillId="5" borderId="1" xfId="0" applyFont="true" applyBorder="true" applyAlignment="false" applyProtection="false">
      <alignment horizontal="general" vertical="bottom" textRotation="0" wrapText="false" indent="0" shrinkToFit="false"/>
      <protection locked="true" hidden="false"/>
    </xf>
    <xf numFmtId="164" fontId="13" fillId="0" borderId="1" xfId="0" applyFont="true" applyBorder="true" applyAlignment="true" applyProtection="false">
      <alignment horizontal="left" vertical="bottom" textRotation="0" wrapText="false" indent="0" shrinkToFit="false"/>
      <protection locked="true" hidden="false"/>
    </xf>
    <xf numFmtId="164" fontId="22" fillId="0" borderId="1" xfId="0" applyFont="true" applyBorder="true" applyAlignment="true" applyProtection="false">
      <alignment horizontal="left" vertical="bottom" textRotation="0" wrapText="false" indent="0" shrinkToFit="false"/>
      <protection locked="true" hidden="false"/>
    </xf>
    <xf numFmtId="165" fontId="21" fillId="0" borderId="1" xfId="0" applyFont="true" applyBorder="true" applyAlignment="true" applyProtection="false">
      <alignment horizontal="center"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6">
    <dxf>
      <fill>
        <patternFill patternType="solid">
          <fgColor rgb="FF2E5C8A"/>
          <bgColor rgb="FF000000"/>
        </patternFill>
      </fill>
    </dxf>
    <dxf>
      <fill>
        <patternFill patternType="solid">
          <fgColor rgb="FFE8E8E8"/>
          <bgColor rgb="FF000000"/>
        </patternFill>
      </fill>
    </dxf>
    <dxf>
      <fill>
        <patternFill patternType="solid">
          <fgColor rgb="FF595959"/>
          <bgColor rgb="FF000000"/>
        </patternFill>
      </fill>
    </dxf>
    <dxf>
      <fill>
        <patternFill patternType="solid">
          <fgColor rgb="FFFFFFFF"/>
          <bgColor rgb="FF000000"/>
        </patternFill>
      </fill>
    </dxf>
    <dxf>
      <fill>
        <patternFill patternType="solid">
          <fgColor rgb="FFFFF2CC"/>
          <bgColor rgb="FF000000"/>
        </patternFill>
      </fill>
    </dxf>
    <dxf>
      <fill>
        <patternFill patternType="solid">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6000"/>
      <rgbColor rgb="FF800080"/>
      <rgbColor rgb="FF008080"/>
      <rgbColor rgb="FFBFBFBF"/>
      <rgbColor rgb="FF7F7F7F"/>
      <rgbColor rgb="FF9999FF"/>
      <rgbColor rgb="FF993366"/>
      <rgbColor rgb="FFFFF2CC"/>
      <rgbColor rgb="FFDCE6F1"/>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F2F6FB"/>
      <rgbColor rgb="FFE8E8E8"/>
      <rgbColor rgb="FFFFFF99"/>
      <rgbColor rgb="FF99CCFF"/>
      <rgbColor rgb="FFFF99CC"/>
      <rgbColor rgb="FFCC99FF"/>
      <rgbColor rgb="FFFFCC99"/>
      <rgbColor rgb="FF3366FF"/>
      <rgbColor rgb="FF33CCCC"/>
      <rgbColor rgb="FF99CC00"/>
      <rgbColor rgb="FFFFCC00"/>
      <rgbColor rgb="FFFF9900"/>
      <rgbColor rgb="FFFF6600"/>
      <rgbColor rgb="FF595959"/>
      <rgbColor rgb="FF969696"/>
      <rgbColor rgb="FF1F3864"/>
      <rgbColor rgb="FF339966"/>
      <rgbColor rgb="FF006100"/>
      <rgbColor rgb="FF333300"/>
      <rgbColor rgb="FF993300"/>
      <rgbColor rgb="FF993366"/>
      <rgbColor rgb="FF2E5C8A"/>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1.xml"/><Relationship Id="rId3"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C00000"/>
    <pageSetUpPr fitToPage="true"/>
  </sheetPr>
  <dimension ref="B2:G49"/>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3"/>
    <col collapsed="false" customWidth="true" hidden="false" outlineLevel="0" max="2" min="2" style="0" width="30"/>
    <col collapsed="false" customWidth="true" hidden="false" outlineLevel="0" max="3" min="3" style="0" width="22"/>
    <col collapsed="false" customWidth="true" hidden="false" outlineLevel="0" max="4" min="4" style="0" width="24"/>
    <col collapsed="false" customWidth="true" hidden="false" outlineLevel="0" max="7" min="5" style="0" width="20"/>
  </cols>
  <sheetData>
    <row r="2" customFormat="false" ht="33.75" hidden="false" customHeight="true" outlineLevel="0" collapsed="false">
      <c r="B2" s="1" t="s">
        <v>0</v>
      </c>
      <c r="C2" s="1"/>
      <c r="D2" s="1"/>
      <c r="E2" s="1"/>
      <c r="F2" s="1"/>
      <c r="G2" s="1"/>
    </row>
    <row r="3" customFormat="false" ht="15" hidden="false" customHeight="false" outlineLevel="0" collapsed="false">
      <c r="B3" s="2" t="s">
        <v>1</v>
      </c>
      <c r="C3" s="2"/>
      <c r="D3" s="2"/>
      <c r="E3" s="2"/>
      <c r="F3" s="2"/>
      <c r="G3" s="2"/>
    </row>
    <row r="5" customFormat="false" ht="19.5" hidden="false" customHeight="true" outlineLevel="0" collapsed="false">
      <c r="B5" s="3" t="s">
        <v>2</v>
      </c>
      <c r="C5" s="3"/>
      <c r="D5" s="3"/>
      <c r="E5" s="3"/>
      <c r="F5" s="3"/>
      <c r="G5" s="3"/>
    </row>
    <row r="6" customFormat="false" ht="30" hidden="false" customHeight="true" outlineLevel="0" collapsed="false">
      <c r="B6" s="4" t="s">
        <v>3</v>
      </c>
      <c r="C6" s="4" t="s">
        <v>4</v>
      </c>
      <c r="D6" s="4" t="s">
        <v>5</v>
      </c>
      <c r="E6" s="4"/>
      <c r="F6" s="4"/>
      <c r="G6" s="4"/>
    </row>
    <row r="7" customFormat="false" ht="18.75" hidden="false" customHeight="true" outlineLevel="0" collapsed="false">
      <c r="B7" s="5" t="s">
        <v>6</v>
      </c>
      <c r="C7" s="6" t="n">
        <f aca="false">COUNTA('Data Affiliate'!$B$6:$B$205)</f>
        <v>1</v>
      </c>
      <c r="D7" s="7" t="s">
        <v>7</v>
      </c>
      <c r="E7" s="7"/>
      <c r="F7" s="7"/>
      <c r="G7" s="7"/>
    </row>
    <row r="8" customFormat="false" ht="18.75" hidden="false" customHeight="true" outlineLevel="0" collapsed="false">
      <c r="B8" s="8" t="s">
        <v>8</v>
      </c>
      <c r="C8" s="9" t="n">
        <f aca="false">SUM('Data Affiliate'!$F$6:$F$205)</f>
        <v>45750000</v>
      </c>
      <c r="D8" s="10" t="s">
        <v>9</v>
      </c>
      <c r="E8" s="10"/>
      <c r="F8" s="10"/>
      <c r="G8" s="10"/>
    </row>
    <row r="9" customFormat="false" ht="18.75" hidden="false" customHeight="true" outlineLevel="0" collapsed="false">
      <c r="B9" s="5" t="s">
        <v>10</v>
      </c>
      <c r="C9" s="11" t="n">
        <f aca="false">IF($C$7=0,0,$C$8/$C$7)</f>
        <v>45750000</v>
      </c>
      <c r="D9" s="7" t="s">
        <v>11</v>
      </c>
      <c r="E9" s="7"/>
      <c r="F9" s="7"/>
      <c r="G9" s="7"/>
    </row>
    <row r="10" customFormat="false" ht="18.75" hidden="false" customHeight="true" outlineLevel="0" collapsed="false">
      <c r="B10" s="8" t="s">
        <v>12</v>
      </c>
      <c r="C10" s="9" t="n">
        <f aca="false">MAX('Data Affiliate'!$F$6:$F$205)</f>
        <v>45750000</v>
      </c>
      <c r="D10" s="10" t="s">
        <v>13</v>
      </c>
      <c r="E10" s="10"/>
      <c r="F10" s="10"/>
      <c r="G10" s="10"/>
    </row>
    <row r="11" customFormat="false" ht="18.75" hidden="false" customHeight="true" outlineLevel="0" collapsed="false">
      <c r="B11" s="5" t="s">
        <v>14</v>
      </c>
      <c r="C11" s="12" t="str">
        <f aca="false">IFERROR(INDEX('Data Affiliate'!$B$6:$B$205,MATCH(MAX('Data Affiliate'!$F$6:$F$205),'Data Affiliate'!$F$6:$F$205,0)),"-")</f>
        <v>Rina Kartika</v>
      </c>
      <c r="D11" s="7" t="s">
        <v>15</v>
      </c>
      <c r="E11" s="7"/>
      <c r="F11" s="7"/>
      <c r="G11" s="7"/>
    </row>
    <row r="12" customFormat="false" ht="18.75" hidden="false" customHeight="true" outlineLevel="0" collapsed="false">
      <c r="B12" s="8" t="s">
        <v>16</v>
      </c>
      <c r="C12" s="13" t="n">
        <f aca="false">SUM('Data Affiliate'!$H$6:$H$205)</f>
        <v>128000</v>
      </c>
      <c r="D12" s="10" t="s">
        <v>17</v>
      </c>
      <c r="E12" s="10"/>
      <c r="F12" s="10"/>
      <c r="G12" s="10"/>
    </row>
    <row r="13" customFormat="false" ht="18.75" hidden="false" customHeight="true" outlineLevel="0" collapsed="false">
      <c r="B13" s="5" t="s">
        <v>18</v>
      </c>
      <c r="C13" s="6" t="n">
        <f aca="false">IF($C$7=0,0,$C$12/$C$7)</f>
        <v>128000</v>
      </c>
      <c r="D13" s="7" t="s">
        <v>19</v>
      </c>
      <c r="E13" s="7"/>
      <c r="F13" s="7"/>
      <c r="G13" s="7"/>
    </row>
    <row r="14" customFormat="false" ht="18.75" hidden="false" customHeight="true" outlineLevel="0" collapsed="false">
      <c r="B14" s="8" t="s">
        <v>20</v>
      </c>
      <c r="C14" s="13" t="n">
        <f aca="false">SUMPRODUCT(('Data Affiliate'!$G$6:$G$205&lt;&gt;"")*1)</f>
        <v>1</v>
      </c>
      <c r="D14" s="10" t="s">
        <v>21</v>
      </c>
      <c r="E14" s="10"/>
      <c r="F14" s="10"/>
      <c r="G14" s="10"/>
    </row>
    <row r="15" customFormat="false" ht="18.75" hidden="false" customHeight="true" outlineLevel="0" collapsed="false">
      <c r="B15" s="5" t="s">
        <v>22</v>
      </c>
      <c r="C15" s="6" t="n">
        <f aca="false">MAX(0,$C$7-$C$14)</f>
        <v>0</v>
      </c>
      <c r="D15" s="7" t="s">
        <v>23</v>
      </c>
      <c r="E15" s="7"/>
      <c r="F15" s="7"/>
      <c r="G15" s="7"/>
    </row>
    <row r="16" customFormat="false" ht="18.75" hidden="false" customHeight="true" outlineLevel="0" collapsed="false">
      <c r="B16" s="8" t="s">
        <v>24</v>
      </c>
      <c r="C16" s="13" t="n">
        <f aca="false">SUMPRODUCT(('Data Affiliate'!$B$6:$B$205&lt;&gt;"")*('Data Affiliate'!$E$6:$E$205=""))</f>
        <v>0</v>
      </c>
      <c r="D16" s="10" t="s">
        <v>25</v>
      </c>
      <c r="E16" s="10"/>
      <c r="F16" s="10"/>
      <c r="G16" s="10"/>
    </row>
    <row r="18" customFormat="false" ht="19.5" hidden="false" customHeight="true" outlineLevel="0" collapsed="false">
      <c r="B18" s="3" t="s">
        <v>26</v>
      </c>
      <c r="C18" s="3"/>
      <c r="D18" s="3"/>
      <c r="E18" s="3"/>
      <c r="F18" s="3"/>
      <c r="G18" s="3"/>
    </row>
    <row r="19" customFormat="false" ht="30" hidden="false" customHeight="true" outlineLevel="0" collapsed="false">
      <c r="B19" s="4" t="s">
        <v>27</v>
      </c>
      <c r="C19" s="4" t="s">
        <v>28</v>
      </c>
      <c r="D19" s="4" t="s">
        <v>8</v>
      </c>
      <c r="E19" s="4" t="s">
        <v>29</v>
      </c>
      <c r="F19" s="4" t="s">
        <v>16</v>
      </c>
      <c r="G19" s="4" t="s">
        <v>30</v>
      </c>
    </row>
    <row r="20" customFormat="false" ht="18" hidden="false" customHeight="true" outlineLevel="0" collapsed="false">
      <c r="B20" s="14" t="str">
        <f aca="false">Referensi!$A$4</f>
        <v>WhatsApp</v>
      </c>
      <c r="C20" s="15" t="n">
        <f aca="false">COUNTIFS('Data Affiliate'!$E$6:$E$205,$B20)</f>
        <v>0</v>
      </c>
      <c r="D20" s="16" t="n">
        <f aca="false">SUMIFS('Data Affiliate'!$F$6:$F$205,'Data Affiliate'!$E$6:$E$205,$B20)</f>
        <v>0</v>
      </c>
      <c r="E20" s="16" t="n">
        <f aca="false">IF($C20=0,0,$D20/$C20)</f>
        <v>0</v>
      </c>
      <c r="F20" s="15" t="n">
        <f aca="false">SUMIFS('Data Affiliate'!$H$6:$H$205,'Data Affiliate'!$E$6:$E$205,$B20)</f>
        <v>0</v>
      </c>
      <c r="G20" s="17" t="n">
        <f aca="false">IF($D$28=0,0,$D20/$D$28)</f>
        <v>0</v>
      </c>
    </row>
    <row r="21" customFormat="false" ht="18" hidden="false" customHeight="true" outlineLevel="0" collapsed="false">
      <c r="B21" s="18" t="str">
        <f aca="false">Referensi!$A$5</f>
        <v>Instagram DM</v>
      </c>
      <c r="C21" s="19" t="n">
        <f aca="false">COUNTIFS('Data Affiliate'!$E$6:$E$205,$B21)</f>
        <v>1</v>
      </c>
      <c r="D21" s="20" t="n">
        <f aca="false">SUMIFS('Data Affiliate'!$F$6:$F$205,'Data Affiliate'!$E$6:$E$205,$B21)</f>
        <v>45750000</v>
      </c>
      <c r="E21" s="20" t="n">
        <f aca="false">IF($C21=0,0,$D21/$C21)</f>
        <v>45750000</v>
      </c>
      <c r="F21" s="19" t="n">
        <f aca="false">SUMIFS('Data Affiliate'!$H$6:$H$205,'Data Affiliate'!$E$6:$E$205,$B21)</f>
        <v>128000</v>
      </c>
      <c r="G21" s="21" t="n">
        <f aca="false">IF($D$28=0,0,$D21/$D$28)</f>
        <v>1</v>
      </c>
    </row>
    <row r="22" customFormat="false" ht="18" hidden="false" customHeight="true" outlineLevel="0" collapsed="false">
      <c r="B22" s="14" t="str">
        <f aca="false">Referensi!$A$6</f>
        <v>TikTok DM</v>
      </c>
      <c r="C22" s="15" t="n">
        <f aca="false">COUNTIFS('Data Affiliate'!$E$6:$E$205,$B22)</f>
        <v>0</v>
      </c>
      <c r="D22" s="16" t="n">
        <f aca="false">SUMIFS('Data Affiliate'!$F$6:$F$205,'Data Affiliate'!$E$6:$E$205,$B22)</f>
        <v>0</v>
      </c>
      <c r="E22" s="16" t="n">
        <f aca="false">IF($C22=0,0,$D22/$C22)</f>
        <v>0</v>
      </c>
      <c r="F22" s="15" t="n">
        <f aca="false">SUMIFS('Data Affiliate'!$H$6:$H$205,'Data Affiliate'!$E$6:$E$205,$B22)</f>
        <v>0</v>
      </c>
      <c r="G22" s="17" t="n">
        <f aca="false">IF($D$28=0,0,$D22/$D$28)</f>
        <v>0</v>
      </c>
    </row>
    <row r="23" customFormat="false" ht="18" hidden="false" customHeight="true" outlineLevel="0" collapsed="false">
      <c r="B23" s="18" t="str">
        <f aca="false">Referensi!$A$7</f>
        <v>Email</v>
      </c>
      <c r="C23" s="19" t="n">
        <f aca="false">COUNTIFS('Data Affiliate'!$E$6:$E$205,$B23)</f>
        <v>0</v>
      </c>
      <c r="D23" s="20" t="n">
        <f aca="false">SUMIFS('Data Affiliate'!$F$6:$F$205,'Data Affiliate'!$E$6:$E$205,$B23)</f>
        <v>0</v>
      </c>
      <c r="E23" s="20" t="n">
        <f aca="false">IF($C23=0,0,$D23/$C23)</f>
        <v>0</v>
      </c>
      <c r="F23" s="19" t="n">
        <f aca="false">SUMIFS('Data Affiliate'!$H$6:$H$205,'Data Affiliate'!$E$6:$E$205,$B23)</f>
        <v>0</v>
      </c>
      <c r="G23" s="21" t="n">
        <f aca="false">IF($D$28=0,0,$D23/$D$28)</f>
        <v>0</v>
      </c>
    </row>
    <row r="24" customFormat="false" ht="18" hidden="false" customHeight="true" outlineLevel="0" collapsed="false">
      <c r="B24" s="14" t="str">
        <f aca="false">Referensi!$A$8</f>
        <v>Telepon</v>
      </c>
      <c r="C24" s="15" t="n">
        <f aca="false">COUNTIFS('Data Affiliate'!$E$6:$E$205,$B24)</f>
        <v>0</v>
      </c>
      <c r="D24" s="16" t="n">
        <f aca="false">SUMIFS('Data Affiliate'!$F$6:$F$205,'Data Affiliate'!$E$6:$E$205,$B24)</f>
        <v>0</v>
      </c>
      <c r="E24" s="16" t="n">
        <f aca="false">IF($C24=0,0,$D24/$C24)</f>
        <v>0</v>
      </c>
      <c r="F24" s="15" t="n">
        <f aca="false">SUMIFS('Data Affiliate'!$H$6:$H$205,'Data Affiliate'!$E$6:$E$205,$B24)</f>
        <v>0</v>
      </c>
      <c r="G24" s="17" t="n">
        <f aca="false">IF($D$28=0,0,$D24/$D$28)</f>
        <v>0</v>
      </c>
    </row>
    <row r="25" customFormat="false" ht="18" hidden="false" customHeight="true" outlineLevel="0" collapsed="false">
      <c r="B25" s="18" t="str">
        <f aca="false">Referensi!$A$9</f>
        <v>Shopee Chat</v>
      </c>
      <c r="C25" s="19" t="n">
        <f aca="false">COUNTIFS('Data Affiliate'!$E$6:$E$205,$B25)</f>
        <v>0</v>
      </c>
      <c r="D25" s="20" t="n">
        <f aca="false">SUMIFS('Data Affiliate'!$F$6:$F$205,'Data Affiliate'!$E$6:$E$205,$B25)</f>
        <v>0</v>
      </c>
      <c r="E25" s="20" t="n">
        <f aca="false">IF($C25=0,0,$D25/$C25)</f>
        <v>0</v>
      </c>
      <c r="F25" s="19" t="n">
        <f aca="false">SUMIFS('Data Affiliate'!$H$6:$H$205,'Data Affiliate'!$E$6:$E$205,$B25)</f>
        <v>0</v>
      </c>
      <c r="G25" s="21" t="n">
        <f aca="false">IF($D$28=0,0,$D25/$D$28)</f>
        <v>0</v>
      </c>
    </row>
    <row r="26" customFormat="false" ht="18" hidden="false" customHeight="true" outlineLevel="0" collapsed="false">
      <c r="B26" s="14" t="str">
        <f aca="false">Referensi!$A$10</f>
        <v>Tokopedia Chat</v>
      </c>
      <c r="C26" s="15" t="n">
        <f aca="false">COUNTIFS('Data Affiliate'!$E$6:$E$205,$B26)</f>
        <v>0</v>
      </c>
      <c r="D26" s="16" t="n">
        <f aca="false">SUMIFS('Data Affiliate'!$F$6:$F$205,'Data Affiliate'!$E$6:$E$205,$B26)</f>
        <v>0</v>
      </c>
      <c r="E26" s="16" t="n">
        <f aca="false">IF($C26=0,0,$D26/$C26)</f>
        <v>0</v>
      </c>
      <c r="F26" s="15" t="n">
        <f aca="false">SUMIFS('Data Affiliate'!$H$6:$H$205,'Data Affiliate'!$E$6:$E$205,$B26)</f>
        <v>0</v>
      </c>
      <c r="G26" s="17" t="n">
        <f aca="false">IF($D$28=0,0,$D26/$D$28)</f>
        <v>0</v>
      </c>
    </row>
    <row r="27" customFormat="false" ht="18" hidden="false" customHeight="true" outlineLevel="0" collapsed="false">
      <c r="B27" s="18" t="str">
        <f aca="false">Referensi!$A$11</f>
        <v>Offline / Event</v>
      </c>
      <c r="C27" s="19" t="n">
        <f aca="false">COUNTIFS('Data Affiliate'!$E$6:$E$205,$B27)</f>
        <v>0</v>
      </c>
      <c r="D27" s="20" t="n">
        <f aca="false">SUMIFS('Data Affiliate'!$F$6:$F$205,'Data Affiliate'!$E$6:$E$205,$B27)</f>
        <v>0</v>
      </c>
      <c r="E27" s="20" t="n">
        <f aca="false">IF($C27=0,0,$D27/$C27)</f>
        <v>0</v>
      </c>
      <c r="F27" s="19" t="n">
        <f aca="false">SUMIFS('Data Affiliate'!$H$6:$H$205,'Data Affiliate'!$E$6:$E$205,$B27)</f>
        <v>0</v>
      </c>
      <c r="G27" s="21" t="n">
        <f aca="false">IF($D$28=0,0,$D27/$D$28)</f>
        <v>0</v>
      </c>
    </row>
    <row r="28" customFormat="false" ht="18" hidden="false" customHeight="true" outlineLevel="0" collapsed="false">
      <c r="B28" s="22" t="s">
        <v>31</v>
      </c>
      <c r="C28" s="23" t="n">
        <f aca="false">SUM($C$20:$C$27)</f>
        <v>1</v>
      </c>
      <c r="D28" s="24" t="n">
        <f aca="false">SUM($D$20:$D$27)</f>
        <v>45750000</v>
      </c>
      <c r="E28" s="24" t="n">
        <f aca="false">IF($C$28=0,0,$D$28/$C$28)</f>
        <v>45750000</v>
      </c>
      <c r="F28" s="23" t="n">
        <f aca="false">SUM($F$20:$F$27)</f>
        <v>128000</v>
      </c>
      <c r="G28" s="25" t="n">
        <f aca="false">IF($D$28=0,0,SUM($G$20:$G$27))</f>
        <v>1</v>
      </c>
    </row>
    <row r="29" customFormat="false" ht="15" hidden="false" customHeight="false" outlineLevel="0" collapsed="false">
      <c r="B29" s="26" t="s">
        <v>32</v>
      </c>
      <c r="C29" s="26"/>
      <c r="D29" s="26"/>
      <c r="E29" s="26"/>
      <c r="F29" s="26"/>
      <c r="G29" s="26"/>
    </row>
    <row r="31" customFormat="false" ht="19.5" hidden="false" customHeight="true" outlineLevel="0" collapsed="false">
      <c r="B31" s="3" t="s">
        <v>33</v>
      </c>
      <c r="C31" s="3"/>
      <c r="D31" s="3"/>
      <c r="E31" s="3"/>
      <c r="F31" s="3"/>
      <c r="G31" s="3"/>
    </row>
    <row r="32" customFormat="false" ht="30" hidden="false" customHeight="true" outlineLevel="0" collapsed="false">
      <c r="B32" s="4" t="s">
        <v>34</v>
      </c>
      <c r="C32" s="4" t="s">
        <v>35</v>
      </c>
      <c r="D32" s="4" t="s">
        <v>28</v>
      </c>
      <c r="E32" s="4" t="s">
        <v>8</v>
      </c>
      <c r="F32" s="4" t="s">
        <v>29</v>
      </c>
      <c r="G32" s="4" t="s">
        <v>30</v>
      </c>
    </row>
    <row r="33" customFormat="false" ht="18" hidden="false" customHeight="true" outlineLevel="0" collapsed="false">
      <c r="B33" s="27" t="str">
        <f aca="false">Referensi!$C$5</f>
        <v>Nano</v>
      </c>
      <c r="C33" s="14" t="str">
        <f aca="false">Referensi!$D$5</f>
        <v>Di bawah 10.000</v>
      </c>
      <c r="D33" s="15" t="n">
        <f aca="false">COUNTIFS('Data Affiliate'!$H$6:$H$205,"&gt;="&amp;Referensi!$E$5,'Data Affiliate'!$H$6:$H$205,"&lt;="&amp;Referensi!$F$5)</f>
        <v>0</v>
      </c>
      <c r="E33" s="16" t="n">
        <f aca="false">SUMIFS('Data Affiliate'!$F$6:$F$205,'Data Affiliate'!$H$6:$H$205,"&gt;="&amp;Referensi!$E$5,'Data Affiliate'!$H$6:$H$205,"&lt;="&amp;Referensi!$F$5)</f>
        <v>0</v>
      </c>
      <c r="F33" s="16" t="n">
        <f aca="false">IF($D33=0,0,$E33/$D33)</f>
        <v>0</v>
      </c>
      <c r="G33" s="17" t="n">
        <f aca="false">IF($E$38=0,0,$E33/$E$38)</f>
        <v>0</v>
      </c>
    </row>
    <row r="34" customFormat="false" ht="18" hidden="false" customHeight="true" outlineLevel="0" collapsed="false">
      <c r="B34" s="28" t="str">
        <f aca="false">Referensi!$C$6</f>
        <v>Micro</v>
      </c>
      <c r="C34" s="18" t="str">
        <f aca="false">Referensi!$D$6</f>
        <v>10.000 sampai 49.999</v>
      </c>
      <c r="D34" s="19" t="n">
        <f aca="false">COUNTIFS('Data Affiliate'!$H$6:$H$205,"&gt;="&amp;Referensi!$E$6,'Data Affiliate'!$H$6:$H$205,"&lt;="&amp;Referensi!$F$6)</f>
        <v>0</v>
      </c>
      <c r="E34" s="20" t="n">
        <f aca="false">SUMIFS('Data Affiliate'!$F$6:$F$205,'Data Affiliate'!$H$6:$H$205,"&gt;="&amp;Referensi!$E$6,'Data Affiliate'!$H$6:$H$205,"&lt;="&amp;Referensi!$F$6)</f>
        <v>0</v>
      </c>
      <c r="F34" s="20" t="n">
        <f aca="false">IF($D34=0,0,$E34/$D34)</f>
        <v>0</v>
      </c>
      <c r="G34" s="21" t="n">
        <f aca="false">IF($E$38=0,0,$E34/$E$38)</f>
        <v>0</v>
      </c>
    </row>
    <row r="35" customFormat="false" ht="18" hidden="false" customHeight="true" outlineLevel="0" collapsed="false">
      <c r="B35" s="27" t="str">
        <f aca="false">Referensi!$C$7</f>
        <v>Mid</v>
      </c>
      <c r="C35" s="14" t="str">
        <f aca="false">Referensi!$D$7</f>
        <v>50.000 sampai 249.999</v>
      </c>
      <c r="D35" s="15" t="n">
        <f aca="false">COUNTIFS('Data Affiliate'!$H$6:$H$205,"&gt;="&amp;Referensi!$E$7,'Data Affiliate'!$H$6:$H$205,"&lt;="&amp;Referensi!$F$7)</f>
        <v>1</v>
      </c>
      <c r="E35" s="16" t="n">
        <f aca="false">SUMIFS('Data Affiliate'!$F$6:$F$205,'Data Affiliate'!$H$6:$H$205,"&gt;="&amp;Referensi!$E$7,'Data Affiliate'!$H$6:$H$205,"&lt;="&amp;Referensi!$F$7)</f>
        <v>45750000</v>
      </c>
      <c r="F35" s="16" t="n">
        <f aca="false">IF($D35=0,0,$E35/$D35)</f>
        <v>45750000</v>
      </c>
      <c r="G35" s="17" t="n">
        <f aca="false">IF($E$38=0,0,$E35/$E$38)</f>
        <v>1</v>
      </c>
    </row>
    <row r="36" customFormat="false" ht="18" hidden="false" customHeight="true" outlineLevel="0" collapsed="false">
      <c r="B36" s="28" t="str">
        <f aca="false">Referensi!$C$8</f>
        <v>Macro</v>
      </c>
      <c r="C36" s="18" t="str">
        <f aca="false">Referensi!$D$8</f>
        <v>250.000 sampai 999.999</v>
      </c>
      <c r="D36" s="19" t="n">
        <f aca="false">COUNTIFS('Data Affiliate'!$H$6:$H$205,"&gt;="&amp;Referensi!$E$8,'Data Affiliate'!$H$6:$H$205,"&lt;="&amp;Referensi!$F$8)</f>
        <v>0</v>
      </c>
      <c r="E36" s="20" t="n">
        <f aca="false">SUMIFS('Data Affiliate'!$F$6:$F$205,'Data Affiliate'!$H$6:$H$205,"&gt;="&amp;Referensi!$E$8,'Data Affiliate'!$H$6:$H$205,"&lt;="&amp;Referensi!$F$8)</f>
        <v>0</v>
      </c>
      <c r="F36" s="20" t="n">
        <f aca="false">IF($D36=0,0,$E36/$D36)</f>
        <v>0</v>
      </c>
      <c r="G36" s="21" t="n">
        <f aca="false">IF($E$38=0,0,$E36/$E$38)</f>
        <v>0</v>
      </c>
    </row>
    <row r="37" customFormat="false" ht="18" hidden="false" customHeight="true" outlineLevel="0" collapsed="false">
      <c r="B37" s="27" t="str">
        <f aca="false">Referensi!$C$9</f>
        <v>Mega</v>
      </c>
      <c r="C37" s="14" t="str">
        <f aca="false">Referensi!$D$9</f>
        <v>1.000.000 ke atas</v>
      </c>
      <c r="D37" s="15" t="n">
        <f aca="false">COUNTIFS('Data Affiliate'!$H$6:$H$205,"&gt;="&amp;Referensi!$E$9,'Data Affiliate'!$H$6:$H$205,"&lt;="&amp;Referensi!$F$9)</f>
        <v>0</v>
      </c>
      <c r="E37" s="16" t="n">
        <f aca="false">SUMIFS('Data Affiliate'!$F$6:$F$205,'Data Affiliate'!$H$6:$H$205,"&gt;="&amp;Referensi!$E$9,'Data Affiliate'!$H$6:$H$205,"&lt;="&amp;Referensi!$F$9)</f>
        <v>0</v>
      </c>
      <c r="F37" s="16" t="n">
        <f aca="false">IF($D37=0,0,$E37/$D37)</f>
        <v>0</v>
      </c>
      <c r="G37" s="17" t="n">
        <f aca="false">IF($E$38=0,0,$E37/$E$38)</f>
        <v>0</v>
      </c>
    </row>
    <row r="38" customFormat="false" ht="18" hidden="false" customHeight="true" outlineLevel="0" collapsed="false">
      <c r="B38" s="22" t="s">
        <v>36</v>
      </c>
      <c r="C38" s="22" t="s">
        <v>37</v>
      </c>
      <c r="D38" s="23" t="n">
        <f aca="false">SUM($D$33:$D$37)</f>
        <v>1</v>
      </c>
      <c r="E38" s="24" t="n">
        <f aca="false">SUM($E$33:$E$37)</f>
        <v>45750000</v>
      </c>
      <c r="F38" s="24" t="n">
        <f aca="false">IF($D$38=0,0,$E$38/$D$38)</f>
        <v>45750000</v>
      </c>
      <c r="G38" s="25" t="n">
        <f aca="false">IF($E$38=0,0,SUM($G$33:$G$37))</f>
        <v>1</v>
      </c>
    </row>
    <row r="39" customFormat="false" ht="15" hidden="false" customHeight="false" outlineLevel="0" collapsed="false">
      <c r="B39" s="26" t="s">
        <v>38</v>
      </c>
      <c r="C39" s="26"/>
      <c r="D39" s="26"/>
      <c r="E39" s="26"/>
      <c r="F39" s="26"/>
      <c r="G39" s="26"/>
    </row>
    <row r="41" customFormat="false" ht="19.5" hidden="false" customHeight="true" outlineLevel="0" collapsed="false">
      <c r="B41" s="3" t="s">
        <v>39</v>
      </c>
      <c r="C41" s="3"/>
      <c r="D41" s="3"/>
      <c r="E41" s="3"/>
      <c r="F41" s="3"/>
      <c r="G41" s="3"/>
    </row>
    <row r="42" customFormat="false" ht="18.75" hidden="false" customHeight="true" outlineLevel="0" collapsed="false">
      <c r="B42" s="29" t="s">
        <v>40</v>
      </c>
      <c r="C42" s="30" t="s">
        <v>41</v>
      </c>
      <c r="D42" s="30"/>
      <c r="E42" s="30"/>
      <c r="F42" s="30"/>
      <c r="G42" s="30"/>
    </row>
    <row r="43" customFormat="false" ht="18.75" hidden="false" customHeight="true" outlineLevel="0" collapsed="false">
      <c r="B43" s="31" t="s">
        <v>42</v>
      </c>
      <c r="C43" s="30" t="s">
        <v>43</v>
      </c>
      <c r="D43" s="30"/>
      <c r="E43" s="30"/>
      <c r="F43" s="30"/>
      <c r="G43" s="30"/>
    </row>
    <row r="44" customFormat="false" ht="18.75" hidden="false" customHeight="true" outlineLevel="0" collapsed="false">
      <c r="B44" s="32" t="s">
        <v>44</v>
      </c>
      <c r="C44" s="30" t="s">
        <v>45</v>
      </c>
      <c r="D44" s="30"/>
      <c r="E44" s="30"/>
      <c r="F44" s="30"/>
      <c r="G44" s="30"/>
    </row>
    <row r="45" customFormat="false" ht="18.75" hidden="false" customHeight="true" outlineLevel="0" collapsed="false">
      <c r="B45" s="33" t="s">
        <v>46</v>
      </c>
      <c r="C45" s="30" t="s">
        <v>47</v>
      </c>
      <c r="D45" s="30"/>
      <c r="E45" s="30"/>
      <c r="F45" s="30"/>
      <c r="G45" s="30"/>
    </row>
    <row r="46" customFormat="false" ht="18.75" hidden="false" customHeight="true" outlineLevel="0" collapsed="false">
      <c r="B46" s="34" t="s">
        <v>48</v>
      </c>
      <c r="C46" s="30" t="s">
        <v>49</v>
      </c>
      <c r="D46" s="30"/>
      <c r="E46" s="30"/>
      <c r="F46" s="30"/>
      <c r="G46" s="30"/>
    </row>
    <row r="48" customFormat="false" ht="15" hidden="false" customHeight="true" outlineLevel="0" collapsed="false">
      <c r="B48" s="35" t="s">
        <v>50</v>
      </c>
      <c r="C48" s="35"/>
      <c r="D48" s="35"/>
      <c r="E48" s="35"/>
      <c r="F48" s="35"/>
      <c r="G48" s="35"/>
    </row>
    <row r="49" customFormat="false" ht="15" hidden="false" customHeight="false" outlineLevel="0" collapsed="false">
      <c r="B49" s="35"/>
      <c r="C49" s="35"/>
      <c r="D49" s="35"/>
      <c r="E49" s="35"/>
      <c r="F49" s="35"/>
      <c r="G49" s="35"/>
    </row>
  </sheetData>
  <mergeCells count="25">
    <mergeCell ref="B2:G2"/>
    <mergeCell ref="B3:G3"/>
    <mergeCell ref="B5:G5"/>
    <mergeCell ref="D6:G6"/>
    <mergeCell ref="D7:G7"/>
    <mergeCell ref="D8:G8"/>
    <mergeCell ref="D9:G9"/>
    <mergeCell ref="D10:G10"/>
    <mergeCell ref="D11:G11"/>
    <mergeCell ref="D12:G12"/>
    <mergeCell ref="D13:G13"/>
    <mergeCell ref="D14:G14"/>
    <mergeCell ref="D15:G15"/>
    <mergeCell ref="D16:G16"/>
    <mergeCell ref="B18:G18"/>
    <mergeCell ref="B29:G29"/>
    <mergeCell ref="B31:G31"/>
    <mergeCell ref="B39:G39"/>
    <mergeCell ref="B41:G41"/>
    <mergeCell ref="C42:G42"/>
    <mergeCell ref="C43:G43"/>
    <mergeCell ref="C44:G44"/>
    <mergeCell ref="C45:G45"/>
    <mergeCell ref="C46:G46"/>
    <mergeCell ref="B48:G49"/>
  </mergeCells>
  <printOptions headings="false" gridLines="false" gridLinesSet="true" horizontalCentered="fals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Affiliate Dashboard - halaman &amp;P dari &amp;N</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E5C8A"/>
    <pageSetUpPr fitToPage="true"/>
  </sheetPr>
  <dimension ref="A1:H205"/>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5" topLeftCell="B6" activePane="bottomRight" state="frozen"/>
      <selection pane="topLeft" activeCell="A1" activeCellId="0" sqref="A1"/>
      <selection pane="topRight" activeCell="B1" activeCellId="0" sqref="B1"/>
      <selection pane="bottomLeft" activeCell="A6" activeCellId="0" sqref="A6"/>
      <selection pane="bottomRight" activeCell="A1" activeCellId="0" sqref="A1"/>
    </sheetView>
  </sheetViews>
  <sheetFormatPr defaultColWidth="8.5390625" defaultRowHeight="15" zeroHeight="false" outlineLevelRow="0" outlineLevelCol="0"/>
  <cols>
    <col collapsed="false" customWidth="true" hidden="false" outlineLevel="0" max="1" min="1" style="0" width="6"/>
    <col collapsed="false" customWidth="true" hidden="false" outlineLevel="0" max="2" min="2" style="0" width="24"/>
    <col collapsed="false" customWidth="true" hidden="false" outlineLevel="0" max="3" min="3" style="0" width="22"/>
    <col collapsed="false" customWidth="true" hidden="false" outlineLevel="0" max="5" min="4" style="0" width="20"/>
    <col collapsed="false" customWidth="true" hidden="false" outlineLevel="0" max="6" min="6" style="0" width="18"/>
    <col collapsed="false" customWidth="true" hidden="false" outlineLevel="0" max="7" min="7" style="0" width="34"/>
    <col collapsed="false" customWidth="true" hidden="false" outlineLevel="0" max="8" min="8" style="0" width="16"/>
  </cols>
  <sheetData>
    <row r="1" customFormat="false" ht="30" hidden="false" customHeight="true" outlineLevel="0" collapsed="false">
      <c r="A1" s="1" t="s">
        <v>51</v>
      </c>
      <c r="B1" s="1"/>
      <c r="C1" s="1"/>
      <c r="D1" s="1"/>
      <c r="E1" s="1"/>
      <c r="F1" s="1"/>
      <c r="G1" s="1"/>
      <c r="H1" s="1"/>
    </row>
    <row r="2" customFormat="false" ht="15" hidden="false" customHeight="false" outlineLevel="0" collapsed="false">
      <c r="A2" s="2" t="s">
        <v>52</v>
      </c>
      <c r="B2" s="2"/>
      <c r="C2" s="2"/>
      <c r="D2" s="2"/>
      <c r="E2" s="2"/>
      <c r="F2" s="2"/>
      <c r="G2" s="2"/>
      <c r="H2" s="2"/>
    </row>
    <row r="3" customFormat="false" ht="27.75" hidden="false" customHeight="true" outlineLevel="0" collapsed="false">
      <c r="A3" s="36" t="s">
        <v>53</v>
      </c>
      <c r="B3" s="36"/>
      <c r="C3" s="36"/>
      <c r="D3" s="36"/>
      <c r="E3" s="36"/>
      <c r="F3" s="36"/>
      <c r="G3" s="36"/>
      <c r="H3" s="36"/>
    </row>
    <row r="4" customFormat="false" ht="6" hidden="false" customHeight="true" outlineLevel="0" collapsed="false"/>
    <row r="5" customFormat="false" ht="30" hidden="false" customHeight="true" outlineLevel="0" collapsed="false">
      <c r="A5" s="4" t="s">
        <v>54</v>
      </c>
      <c r="B5" s="4" t="s">
        <v>55</v>
      </c>
      <c r="C5" s="4" t="s">
        <v>56</v>
      </c>
      <c r="D5" s="4" t="s">
        <v>57</v>
      </c>
      <c r="E5" s="4" t="s">
        <v>58</v>
      </c>
      <c r="F5" s="4" t="s">
        <v>59</v>
      </c>
      <c r="G5" s="4" t="s">
        <v>60</v>
      </c>
      <c r="H5" s="4" t="s">
        <v>61</v>
      </c>
    </row>
    <row r="6" customFormat="false" ht="18" hidden="false" customHeight="true" outlineLevel="0" collapsed="false">
      <c r="A6" s="32" t="n">
        <f aca="false">IF($B6&lt;&gt;"",ROW()-5,"")</f>
        <v>1</v>
      </c>
      <c r="B6" s="37" t="s">
        <v>62</v>
      </c>
      <c r="C6" s="37" t="s">
        <v>63</v>
      </c>
      <c r="D6" s="38" t="s">
        <v>64</v>
      </c>
      <c r="E6" s="37" t="s">
        <v>65</v>
      </c>
      <c r="F6" s="39" t="n">
        <v>45750000</v>
      </c>
      <c r="G6" s="40" t="s">
        <v>66</v>
      </c>
      <c r="H6" s="41" t="n">
        <v>128000</v>
      </c>
    </row>
    <row r="7" customFormat="false" ht="18" hidden="false" customHeight="true" outlineLevel="0" collapsed="false">
      <c r="A7" s="32" t="str">
        <f aca="false">IF($B7&lt;&gt;"",ROW()-5,"")</f>
        <v/>
      </c>
      <c r="B7" s="42"/>
      <c r="C7" s="42"/>
      <c r="D7" s="43"/>
      <c r="E7" s="42"/>
      <c r="F7" s="44"/>
      <c r="G7" s="45"/>
      <c r="H7" s="46"/>
    </row>
    <row r="8" customFormat="false" ht="18" hidden="false" customHeight="true" outlineLevel="0" collapsed="false">
      <c r="A8" s="32" t="str">
        <f aca="false">IF($B8&lt;&gt;"",ROW()-5,"")</f>
        <v/>
      </c>
      <c r="B8" s="42"/>
      <c r="C8" s="42"/>
      <c r="D8" s="43"/>
      <c r="E8" s="42"/>
      <c r="F8" s="44"/>
      <c r="G8" s="45"/>
      <c r="H8" s="46"/>
    </row>
    <row r="9" customFormat="false" ht="18" hidden="false" customHeight="true" outlineLevel="0" collapsed="false">
      <c r="A9" s="32" t="str">
        <f aca="false">IF($B9&lt;&gt;"",ROW()-5,"")</f>
        <v/>
      </c>
      <c r="B9" s="42"/>
      <c r="C9" s="42"/>
      <c r="D9" s="43"/>
      <c r="E9" s="42"/>
      <c r="F9" s="44"/>
      <c r="G9" s="45"/>
      <c r="H9" s="46"/>
    </row>
    <row r="10" customFormat="false" ht="18" hidden="false" customHeight="true" outlineLevel="0" collapsed="false">
      <c r="A10" s="32" t="str">
        <f aca="false">IF($B10&lt;&gt;"",ROW()-5,"")</f>
        <v/>
      </c>
      <c r="B10" s="42"/>
      <c r="C10" s="42"/>
      <c r="D10" s="43"/>
      <c r="E10" s="42"/>
      <c r="F10" s="44"/>
      <c r="G10" s="45"/>
      <c r="H10" s="46"/>
    </row>
    <row r="11" customFormat="false" ht="18" hidden="false" customHeight="true" outlineLevel="0" collapsed="false">
      <c r="A11" s="32" t="str">
        <f aca="false">IF($B11&lt;&gt;"",ROW()-5,"")</f>
        <v/>
      </c>
      <c r="B11" s="42"/>
      <c r="C11" s="42"/>
      <c r="D11" s="43"/>
      <c r="E11" s="42"/>
      <c r="F11" s="44"/>
      <c r="G11" s="45"/>
      <c r="H11" s="46"/>
    </row>
    <row r="12" customFormat="false" ht="18" hidden="false" customHeight="true" outlineLevel="0" collapsed="false">
      <c r="A12" s="32" t="str">
        <f aca="false">IF($B12&lt;&gt;"",ROW()-5,"")</f>
        <v/>
      </c>
      <c r="B12" s="42"/>
      <c r="C12" s="42"/>
      <c r="D12" s="43"/>
      <c r="E12" s="42"/>
      <c r="F12" s="44"/>
      <c r="G12" s="45"/>
      <c r="H12" s="46"/>
    </row>
    <row r="13" customFormat="false" ht="18" hidden="false" customHeight="true" outlineLevel="0" collapsed="false">
      <c r="A13" s="32" t="str">
        <f aca="false">IF($B13&lt;&gt;"",ROW()-5,"")</f>
        <v/>
      </c>
      <c r="B13" s="42"/>
      <c r="C13" s="42"/>
      <c r="D13" s="43"/>
      <c r="E13" s="42"/>
      <c r="F13" s="44"/>
      <c r="G13" s="45"/>
      <c r="H13" s="46"/>
    </row>
    <row r="14" customFormat="false" ht="18" hidden="false" customHeight="true" outlineLevel="0" collapsed="false">
      <c r="A14" s="32" t="str">
        <f aca="false">IF($B14&lt;&gt;"",ROW()-5,"")</f>
        <v/>
      </c>
      <c r="B14" s="42"/>
      <c r="C14" s="42"/>
      <c r="D14" s="43"/>
      <c r="E14" s="42"/>
      <c r="F14" s="44"/>
      <c r="G14" s="45"/>
      <c r="H14" s="46"/>
    </row>
    <row r="15" customFormat="false" ht="18" hidden="false" customHeight="true" outlineLevel="0" collapsed="false">
      <c r="A15" s="32" t="str">
        <f aca="false">IF($B15&lt;&gt;"",ROW()-5,"")</f>
        <v/>
      </c>
      <c r="B15" s="42"/>
      <c r="C15" s="42"/>
      <c r="D15" s="43"/>
      <c r="E15" s="42"/>
      <c r="F15" s="44"/>
      <c r="G15" s="45"/>
      <c r="H15" s="46"/>
    </row>
    <row r="16" customFormat="false" ht="18" hidden="false" customHeight="true" outlineLevel="0" collapsed="false">
      <c r="A16" s="32" t="str">
        <f aca="false">IF($B16&lt;&gt;"",ROW()-5,"")</f>
        <v/>
      </c>
      <c r="B16" s="42"/>
      <c r="C16" s="42"/>
      <c r="D16" s="43"/>
      <c r="E16" s="42"/>
      <c r="F16" s="44"/>
      <c r="G16" s="45"/>
      <c r="H16" s="46"/>
    </row>
    <row r="17" customFormat="false" ht="18" hidden="false" customHeight="true" outlineLevel="0" collapsed="false">
      <c r="A17" s="32" t="str">
        <f aca="false">IF($B17&lt;&gt;"",ROW()-5,"")</f>
        <v/>
      </c>
      <c r="B17" s="42"/>
      <c r="C17" s="42"/>
      <c r="D17" s="43"/>
      <c r="E17" s="42"/>
      <c r="F17" s="44"/>
      <c r="G17" s="45"/>
      <c r="H17" s="46"/>
    </row>
    <row r="18" customFormat="false" ht="18" hidden="false" customHeight="true" outlineLevel="0" collapsed="false">
      <c r="A18" s="32" t="str">
        <f aca="false">IF($B18&lt;&gt;"",ROW()-5,"")</f>
        <v/>
      </c>
      <c r="B18" s="42"/>
      <c r="C18" s="42"/>
      <c r="D18" s="43"/>
      <c r="E18" s="42"/>
      <c r="F18" s="44"/>
      <c r="G18" s="45"/>
      <c r="H18" s="46"/>
    </row>
    <row r="19" customFormat="false" ht="18" hidden="false" customHeight="true" outlineLevel="0" collapsed="false">
      <c r="A19" s="32" t="str">
        <f aca="false">IF($B19&lt;&gt;"",ROW()-5,"")</f>
        <v/>
      </c>
      <c r="B19" s="42"/>
      <c r="C19" s="42"/>
      <c r="D19" s="43"/>
      <c r="E19" s="42"/>
      <c r="F19" s="44"/>
      <c r="G19" s="45"/>
      <c r="H19" s="46"/>
    </row>
    <row r="20" customFormat="false" ht="18" hidden="false" customHeight="true" outlineLevel="0" collapsed="false">
      <c r="A20" s="32" t="str">
        <f aca="false">IF($B20&lt;&gt;"",ROW()-5,"")</f>
        <v/>
      </c>
      <c r="B20" s="42"/>
      <c r="C20" s="42"/>
      <c r="D20" s="43"/>
      <c r="E20" s="42"/>
      <c r="F20" s="44"/>
      <c r="G20" s="45"/>
      <c r="H20" s="46"/>
    </row>
    <row r="21" customFormat="false" ht="18" hidden="false" customHeight="true" outlineLevel="0" collapsed="false">
      <c r="A21" s="32" t="str">
        <f aca="false">IF($B21&lt;&gt;"",ROW()-5,"")</f>
        <v/>
      </c>
      <c r="B21" s="42"/>
      <c r="C21" s="42"/>
      <c r="D21" s="43"/>
      <c r="E21" s="42"/>
      <c r="F21" s="44"/>
      <c r="G21" s="45"/>
      <c r="H21" s="46"/>
    </row>
    <row r="22" customFormat="false" ht="18" hidden="false" customHeight="true" outlineLevel="0" collapsed="false">
      <c r="A22" s="32" t="str">
        <f aca="false">IF($B22&lt;&gt;"",ROW()-5,"")</f>
        <v/>
      </c>
      <c r="B22" s="42"/>
      <c r="C22" s="42"/>
      <c r="D22" s="43"/>
      <c r="E22" s="42"/>
      <c r="F22" s="44"/>
      <c r="G22" s="45"/>
      <c r="H22" s="46"/>
    </row>
    <row r="23" customFormat="false" ht="18" hidden="false" customHeight="true" outlineLevel="0" collapsed="false">
      <c r="A23" s="32" t="str">
        <f aca="false">IF($B23&lt;&gt;"",ROW()-5,"")</f>
        <v/>
      </c>
      <c r="B23" s="42"/>
      <c r="C23" s="42"/>
      <c r="D23" s="43"/>
      <c r="E23" s="42"/>
      <c r="F23" s="44"/>
      <c r="G23" s="45"/>
      <c r="H23" s="46"/>
    </row>
    <row r="24" customFormat="false" ht="18" hidden="false" customHeight="true" outlineLevel="0" collapsed="false">
      <c r="A24" s="32" t="str">
        <f aca="false">IF($B24&lt;&gt;"",ROW()-5,"")</f>
        <v/>
      </c>
      <c r="B24" s="42"/>
      <c r="C24" s="42"/>
      <c r="D24" s="43"/>
      <c r="E24" s="42"/>
      <c r="F24" s="44"/>
      <c r="G24" s="45"/>
      <c r="H24" s="46"/>
    </row>
    <row r="25" customFormat="false" ht="18" hidden="false" customHeight="true" outlineLevel="0" collapsed="false">
      <c r="A25" s="32" t="str">
        <f aca="false">IF($B25&lt;&gt;"",ROW()-5,"")</f>
        <v/>
      </c>
      <c r="B25" s="42"/>
      <c r="C25" s="42"/>
      <c r="D25" s="43"/>
      <c r="E25" s="42"/>
      <c r="F25" s="44"/>
      <c r="G25" s="45"/>
      <c r="H25" s="46"/>
    </row>
    <row r="26" customFormat="false" ht="18" hidden="false" customHeight="true" outlineLevel="0" collapsed="false">
      <c r="A26" s="32" t="str">
        <f aca="false">IF($B26&lt;&gt;"",ROW()-5,"")</f>
        <v/>
      </c>
      <c r="B26" s="42"/>
      <c r="C26" s="42"/>
      <c r="D26" s="43"/>
      <c r="E26" s="42"/>
      <c r="F26" s="44"/>
      <c r="G26" s="45"/>
      <c r="H26" s="46"/>
    </row>
    <row r="27" customFormat="false" ht="18" hidden="false" customHeight="true" outlineLevel="0" collapsed="false">
      <c r="A27" s="32" t="str">
        <f aca="false">IF($B27&lt;&gt;"",ROW()-5,"")</f>
        <v/>
      </c>
      <c r="B27" s="42"/>
      <c r="C27" s="42"/>
      <c r="D27" s="43"/>
      <c r="E27" s="42"/>
      <c r="F27" s="44"/>
      <c r="G27" s="45"/>
      <c r="H27" s="46"/>
    </row>
    <row r="28" customFormat="false" ht="18" hidden="false" customHeight="true" outlineLevel="0" collapsed="false">
      <c r="A28" s="32" t="str">
        <f aca="false">IF($B28&lt;&gt;"",ROW()-5,"")</f>
        <v/>
      </c>
      <c r="B28" s="42"/>
      <c r="C28" s="42"/>
      <c r="D28" s="43"/>
      <c r="E28" s="42"/>
      <c r="F28" s="44"/>
      <c r="G28" s="45"/>
      <c r="H28" s="46"/>
    </row>
    <row r="29" customFormat="false" ht="18" hidden="false" customHeight="true" outlineLevel="0" collapsed="false">
      <c r="A29" s="32" t="str">
        <f aca="false">IF($B29&lt;&gt;"",ROW()-5,"")</f>
        <v/>
      </c>
      <c r="B29" s="42"/>
      <c r="C29" s="42"/>
      <c r="D29" s="43"/>
      <c r="E29" s="42"/>
      <c r="F29" s="44"/>
      <c r="G29" s="45"/>
      <c r="H29" s="46"/>
    </row>
    <row r="30" customFormat="false" ht="18" hidden="false" customHeight="true" outlineLevel="0" collapsed="false">
      <c r="A30" s="32" t="str">
        <f aca="false">IF($B30&lt;&gt;"",ROW()-5,"")</f>
        <v/>
      </c>
      <c r="B30" s="42"/>
      <c r="C30" s="42"/>
      <c r="D30" s="43"/>
      <c r="E30" s="42"/>
      <c r="F30" s="44"/>
      <c r="G30" s="45"/>
      <c r="H30" s="46"/>
    </row>
    <row r="31" customFormat="false" ht="18" hidden="false" customHeight="true" outlineLevel="0" collapsed="false">
      <c r="A31" s="32" t="str">
        <f aca="false">IF($B31&lt;&gt;"",ROW()-5,"")</f>
        <v/>
      </c>
      <c r="B31" s="42"/>
      <c r="C31" s="42"/>
      <c r="D31" s="43"/>
      <c r="E31" s="42"/>
      <c r="F31" s="44"/>
      <c r="G31" s="45"/>
      <c r="H31" s="46"/>
    </row>
    <row r="32" customFormat="false" ht="18" hidden="false" customHeight="true" outlineLevel="0" collapsed="false">
      <c r="A32" s="32" t="str">
        <f aca="false">IF($B32&lt;&gt;"",ROW()-5,"")</f>
        <v/>
      </c>
      <c r="B32" s="42"/>
      <c r="C32" s="42"/>
      <c r="D32" s="43"/>
      <c r="E32" s="42"/>
      <c r="F32" s="44"/>
      <c r="G32" s="45"/>
      <c r="H32" s="46"/>
    </row>
    <row r="33" customFormat="false" ht="18" hidden="false" customHeight="true" outlineLevel="0" collapsed="false">
      <c r="A33" s="32" t="str">
        <f aca="false">IF($B33&lt;&gt;"",ROW()-5,"")</f>
        <v/>
      </c>
      <c r="B33" s="42"/>
      <c r="C33" s="42"/>
      <c r="D33" s="43"/>
      <c r="E33" s="42"/>
      <c r="F33" s="44"/>
      <c r="G33" s="45"/>
      <c r="H33" s="46"/>
    </row>
    <row r="34" customFormat="false" ht="18" hidden="false" customHeight="true" outlineLevel="0" collapsed="false">
      <c r="A34" s="32" t="str">
        <f aca="false">IF($B34&lt;&gt;"",ROW()-5,"")</f>
        <v/>
      </c>
      <c r="B34" s="42"/>
      <c r="C34" s="42"/>
      <c r="D34" s="43"/>
      <c r="E34" s="42"/>
      <c r="F34" s="44"/>
      <c r="G34" s="45"/>
      <c r="H34" s="46"/>
    </row>
    <row r="35" customFormat="false" ht="18" hidden="false" customHeight="true" outlineLevel="0" collapsed="false">
      <c r="A35" s="32" t="str">
        <f aca="false">IF($B35&lt;&gt;"",ROW()-5,"")</f>
        <v/>
      </c>
      <c r="B35" s="42"/>
      <c r="C35" s="42"/>
      <c r="D35" s="43"/>
      <c r="E35" s="42"/>
      <c r="F35" s="44"/>
      <c r="G35" s="45"/>
      <c r="H35" s="46"/>
    </row>
    <row r="36" customFormat="false" ht="18" hidden="false" customHeight="true" outlineLevel="0" collapsed="false">
      <c r="A36" s="32" t="str">
        <f aca="false">IF($B36&lt;&gt;"",ROW()-5,"")</f>
        <v/>
      </c>
      <c r="B36" s="42"/>
      <c r="C36" s="42"/>
      <c r="D36" s="43"/>
      <c r="E36" s="42"/>
      <c r="F36" s="44"/>
      <c r="G36" s="45"/>
      <c r="H36" s="46"/>
    </row>
    <row r="37" customFormat="false" ht="18" hidden="false" customHeight="true" outlineLevel="0" collapsed="false">
      <c r="A37" s="32" t="str">
        <f aca="false">IF($B37&lt;&gt;"",ROW()-5,"")</f>
        <v/>
      </c>
      <c r="B37" s="42"/>
      <c r="C37" s="42"/>
      <c r="D37" s="43"/>
      <c r="E37" s="42"/>
      <c r="F37" s="44"/>
      <c r="G37" s="45"/>
      <c r="H37" s="46"/>
    </row>
    <row r="38" customFormat="false" ht="18" hidden="false" customHeight="true" outlineLevel="0" collapsed="false">
      <c r="A38" s="32" t="str">
        <f aca="false">IF($B38&lt;&gt;"",ROW()-5,"")</f>
        <v/>
      </c>
      <c r="B38" s="42"/>
      <c r="C38" s="42"/>
      <c r="D38" s="43"/>
      <c r="E38" s="42"/>
      <c r="F38" s="44"/>
      <c r="G38" s="45"/>
      <c r="H38" s="46"/>
    </row>
    <row r="39" customFormat="false" ht="18" hidden="false" customHeight="true" outlineLevel="0" collapsed="false">
      <c r="A39" s="32" t="str">
        <f aca="false">IF($B39&lt;&gt;"",ROW()-5,"")</f>
        <v/>
      </c>
      <c r="B39" s="42"/>
      <c r="C39" s="42"/>
      <c r="D39" s="43"/>
      <c r="E39" s="42"/>
      <c r="F39" s="44"/>
      <c r="G39" s="45"/>
      <c r="H39" s="46"/>
    </row>
    <row r="40" customFormat="false" ht="18" hidden="false" customHeight="true" outlineLevel="0" collapsed="false">
      <c r="A40" s="32" t="str">
        <f aca="false">IF($B40&lt;&gt;"",ROW()-5,"")</f>
        <v/>
      </c>
      <c r="B40" s="42"/>
      <c r="C40" s="42"/>
      <c r="D40" s="43"/>
      <c r="E40" s="42"/>
      <c r="F40" s="44"/>
      <c r="G40" s="45"/>
      <c r="H40" s="46"/>
    </row>
    <row r="41" customFormat="false" ht="18" hidden="false" customHeight="true" outlineLevel="0" collapsed="false">
      <c r="A41" s="32" t="str">
        <f aca="false">IF($B41&lt;&gt;"",ROW()-5,"")</f>
        <v/>
      </c>
      <c r="B41" s="42"/>
      <c r="C41" s="42"/>
      <c r="D41" s="43"/>
      <c r="E41" s="42"/>
      <c r="F41" s="44"/>
      <c r="G41" s="45"/>
      <c r="H41" s="46"/>
    </row>
    <row r="42" customFormat="false" ht="18" hidden="false" customHeight="true" outlineLevel="0" collapsed="false">
      <c r="A42" s="32" t="str">
        <f aca="false">IF($B42&lt;&gt;"",ROW()-5,"")</f>
        <v/>
      </c>
      <c r="B42" s="42"/>
      <c r="C42" s="42"/>
      <c r="D42" s="43"/>
      <c r="E42" s="42"/>
      <c r="F42" s="44"/>
      <c r="G42" s="45"/>
      <c r="H42" s="46"/>
    </row>
    <row r="43" customFormat="false" ht="18" hidden="false" customHeight="true" outlineLevel="0" collapsed="false">
      <c r="A43" s="32" t="str">
        <f aca="false">IF($B43&lt;&gt;"",ROW()-5,"")</f>
        <v/>
      </c>
      <c r="B43" s="42"/>
      <c r="C43" s="42"/>
      <c r="D43" s="43"/>
      <c r="E43" s="42"/>
      <c r="F43" s="44"/>
      <c r="G43" s="45"/>
      <c r="H43" s="46"/>
    </row>
    <row r="44" customFormat="false" ht="18" hidden="false" customHeight="true" outlineLevel="0" collapsed="false">
      <c r="A44" s="32" t="str">
        <f aca="false">IF($B44&lt;&gt;"",ROW()-5,"")</f>
        <v/>
      </c>
      <c r="B44" s="42"/>
      <c r="C44" s="42"/>
      <c r="D44" s="43"/>
      <c r="E44" s="42"/>
      <c r="F44" s="44"/>
      <c r="G44" s="45"/>
      <c r="H44" s="46"/>
    </row>
    <row r="45" customFormat="false" ht="18" hidden="false" customHeight="true" outlineLevel="0" collapsed="false">
      <c r="A45" s="32" t="str">
        <f aca="false">IF($B45&lt;&gt;"",ROW()-5,"")</f>
        <v/>
      </c>
      <c r="B45" s="42"/>
      <c r="C45" s="42"/>
      <c r="D45" s="43"/>
      <c r="E45" s="42"/>
      <c r="F45" s="44"/>
      <c r="G45" s="45"/>
      <c r="H45" s="46"/>
    </row>
    <row r="46" customFormat="false" ht="18" hidden="false" customHeight="true" outlineLevel="0" collapsed="false">
      <c r="A46" s="32" t="str">
        <f aca="false">IF($B46&lt;&gt;"",ROW()-5,"")</f>
        <v/>
      </c>
      <c r="B46" s="42"/>
      <c r="C46" s="42"/>
      <c r="D46" s="43"/>
      <c r="E46" s="42"/>
      <c r="F46" s="44"/>
      <c r="G46" s="45"/>
      <c r="H46" s="46"/>
    </row>
    <row r="47" customFormat="false" ht="18" hidden="false" customHeight="true" outlineLevel="0" collapsed="false">
      <c r="A47" s="32" t="str">
        <f aca="false">IF($B47&lt;&gt;"",ROW()-5,"")</f>
        <v/>
      </c>
      <c r="B47" s="42"/>
      <c r="C47" s="42"/>
      <c r="D47" s="43"/>
      <c r="E47" s="42"/>
      <c r="F47" s="44"/>
      <c r="G47" s="45"/>
      <c r="H47" s="46"/>
    </row>
    <row r="48" customFormat="false" ht="18" hidden="false" customHeight="true" outlineLevel="0" collapsed="false">
      <c r="A48" s="32" t="str">
        <f aca="false">IF($B48&lt;&gt;"",ROW()-5,"")</f>
        <v/>
      </c>
      <c r="B48" s="42"/>
      <c r="C48" s="42"/>
      <c r="D48" s="43"/>
      <c r="E48" s="42"/>
      <c r="F48" s="44"/>
      <c r="G48" s="45"/>
      <c r="H48" s="46"/>
    </row>
    <row r="49" customFormat="false" ht="18" hidden="false" customHeight="true" outlineLevel="0" collapsed="false">
      <c r="A49" s="32" t="str">
        <f aca="false">IF($B49&lt;&gt;"",ROW()-5,"")</f>
        <v/>
      </c>
      <c r="B49" s="42"/>
      <c r="C49" s="42"/>
      <c r="D49" s="43"/>
      <c r="E49" s="42"/>
      <c r="F49" s="44"/>
      <c r="G49" s="45"/>
      <c r="H49" s="46"/>
    </row>
    <row r="50" customFormat="false" ht="18" hidden="false" customHeight="true" outlineLevel="0" collapsed="false">
      <c r="A50" s="32" t="str">
        <f aca="false">IF($B50&lt;&gt;"",ROW()-5,"")</f>
        <v/>
      </c>
      <c r="B50" s="42"/>
      <c r="C50" s="42"/>
      <c r="D50" s="43"/>
      <c r="E50" s="42"/>
      <c r="F50" s="44"/>
      <c r="G50" s="45"/>
      <c r="H50" s="46"/>
    </row>
    <row r="51" customFormat="false" ht="18" hidden="false" customHeight="true" outlineLevel="0" collapsed="false">
      <c r="A51" s="32" t="str">
        <f aca="false">IF($B51&lt;&gt;"",ROW()-5,"")</f>
        <v/>
      </c>
      <c r="B51" s="42"/>
      <c r="C51" s="42"/>
      <c r="D51" s="43"/>
      <c r="E51" s="42"/>
      <c r="F51" s="44"/>
      <c r="G51" s="45"/>
      <c r="H51" s="46"/>
    </row>
    <row r="52" customFormat="false" ht="18" hidden="false" customHeight="true" outlineLevel="0" collapsed="false">
      <c r="A52" s="32" t="str">
        <f aca="false">IF($B52&lt;&gt;"",ROW()-5,"")</f>
        <v/>
      </c>
      <c r="B52" s="42"/>
      <c r="C52" s="42"/>
      <c r="D52" s="43"/>
      <c r="E52" s="42"/>
      <c r="F52" s="44"/>
      <c r="G52" s="45"/>
      <c r="H52" s="46"/>
    </row>
    <row r="53" customFormat="false" ht="18" hidden="false" customHeight="true" outlineLevel="0" collapsed="false">
      <c r="A53" s="32" t="str">
        <f aca="false">IF($B53&lt;&gt;"",ROW()-5,"")</f>
        <v/>
      </c>
      <c r="B53" s="42"/>
      <c r="C53" s="42"/>
      <c r="D53" s="43"/>
      <c r="E53" s="42"/>
      <c r="F53" s="44"/>
      <c r="G53" s="45"/>
      <c r="H53" s="46"/>
    </row>
    <row r="54" customFormat="false" ht="18" hidden="false" customHeight="true" outlineLevel="0" collapsed="false">
      <c r="A54" s="32" t="str">
        <f aca="false">IF($B54&lt;&gt;"",ROW()-5,"")</f>
        <v/>
      </c>
      <c r="B54" s="42"/>
      <c r="C54" s="42"/>
      <c r="D54" s="43"/>
      <c r="E54" s="42"/>
      <c r="F54" s="44"/>
      <c r="G54" s="45"/>
      <c r="H54" s="46"/>
    </row>
    <row r="55" customFormat="false" ht="18" hidden="false" customHeight="true" outlineLevel="0" collapsed="false">
      <c r="A55" s="32" t="str">
        <f aca="false">IF($B55&lt;&gt;"",ROW()-5,"")</f>
        <v/>
      </c>
      <c r="B55" s="42"/>
      <c r="C55" s="42"/>
      <c r="D55" s="43"/>
      <c r="E55" s="42"/>
      <c r="F55" s="44"/>
      <c r="G55" s="45"/>
      <c r="H55" s="46"/>
    </row>
    <row r="56" customFormat="false" ht="18" hidden="false" customHeight="true" outlineLevel="0" collapsed="false">
      <c r="A56" s="32" t="str">
        <f aca="false">IF($B56&lt;&gt;"",ROW()-5,"")</f>
        <v/>
      </c>
      <c r="B56" s="42"/>
      <c r="C56" s="42"/>
      <c r="D56" s="43"/>
      <c r="E56" s="42"/>
      <c r="F56" s="44"/>
      <c r="G56" s="45"/>
      <c r="H56" s="46"/>
    </row>
    <row r="57" customFormat="false" ht="18" hidden="false" customHeight="true" outlineLevel="0" collapsed="false">
      <c r="A57" s="32" t="str">
        <f aca="false">IF($B57&lt;&gt;"",ROW()-5,"")</f>
        <v/>
      </c>
      <c r="B57" s="42"/>
      <c r="C57" s="42"/>
      <c r="D57" s="43"/>
      <c r="E57" s="42"/>
      <c r="F57" s="44"/>
      <c r="G57" s="45"/>
      <c r="H57" s="46"/>
    </row>
    <row r="58" customFormat="false" ht="18" hidden="false" customHeight="true" outlineLevel="0" collapsed="false">
      <c r="A58" s="32" t="str">
        <f aca="false">IF($B58&lt;&gt;"",ROW()-5,"")</f>
        <v/>
      </c>
      <c r="B58" s="42"/>
      <c r="C58" s="42"/>
      <c r="D58" s="43"/>
      <c r="E58" s="42"/>
      <c r="F58" s="44"/>
      <c r="G58" s="45"/>
      <c r="H58" s="46"/>
    </row>
    <row r="59" customFormat="false" ht="18" hidden="false" customHeight="true" outlineLevel="0" collapsed="false">
      <c r="A59" s="32" t="str">
        <f aca="false">IF($B59&lt;&gt;"",ROW()-5,"")</f>
        <v/>
      </c>
      <c r="B59" s="42"/>
      <c r="C59" s="42"/>
      <c r="D59" s="43"/>
      <c r="E59" s="42"/>
      <c r="F59" s="44"/>
      <c r="G59" s="45"/>
      <c r="H59" s="46"/>
    </row>
    <row r="60" customFormat="false" ht="18" hidden="false" customHeight="true" outlineLevel="0" collapsed="false">
      <c r="A60" s="32" t="str">
        <f aca="false">IF($B60&lt;&gt;"",ROW()-5,"")</f>
        <v/>
      </c>
      <c r="B60" s="42"/>
      <c r="C60" s="42"/>
      <c r="D60" s="43"/>
      <c r="E60" s="42"/>
      <c r="F60" s="44"/>
      <c r="G60" s="45"/>
      <c r="H60" s="46"/>
    </row>
    <row r="61" customFormat="false" ht="18" hidden="false" customHeight="true" outlineLevel="0" collapsed="false">
      <c r="A61" s="32" t="str">
        <f aca="false">IF($B61&lt;&gt;"",ROW()-5,"")</f>
        <v/>
      </c>
      <c r="B61" s="42"/>
      <c r="C61" s="42"/>
      <c r="D61" s="43"/>
      <c r="E61" s="42"/>
      <c r="F61" s="44"/>
      <c r="G61" s="45"/>
      <c r="H61" s="46"/>
    </row>
    <row r="62" customFormat="false" ht="18" hidden="false" customHeight="true" outlineLevel="0" collapsed="false">
      <c r="A62" s="32" t="str">
        <f aca="false">IF($B62&lt;&gt;"",ROW()-5,"")</f>
        <v/>
      </c>
      <c r="B62" s="42"/>
      <c r="C62" s="42"/>
      <c r="D62" s="43"/>
      <c r="E62" s="42"/>
      <c r="F62" s="44"/>
      <c r="G62" s="45"/>
      <c r="H62" s="46"/>
    </row>
    <row r="63" customFormat="false" ht="18" hidden="false" customHeight="true" outlineLevel="0" collapsed="false">
      <c r="A63" s="32" t="str">
        <f aca="false">IF($B63&lt;&gt;"",ROW()-5,"")</f>
        <v/>
      </c>
      <c r="B63" s="42"/>
      <c r="C63" s="42"/>
      <c r="D63" s="43"/>
      <c r="E63" s="42"/>
      <c r="F63" s="44"/>
      <c r="G63" s="45"/>
      <c r="H63" s="46"/>
    </row>
    <row r="64" customFormat="false" ht="18" hidden="false" customHeight="true" outlineLevel="0" collapsed="false">
      <c r="A64" s="32" t="str">
        <f aca="false">IF($B64&lt;&gt;"",ROW()-5,"")</f>
        <v/>
      </c>
      <c r="B64" s="42"/>
      <c r="C64" s="42"/>
      <c r="D64" s="43"/>
      <c r="E64" s="42"/>
      <c r="F64" s="44"/>
      <c r="G64" s="45"/>
      <c r="H64" s="46"/>
    </row>
    <row r="65" customFormat="false" ht="18" hidden="false" customHeight="true" outlineLevel="0" collapsed="false">
      <c r="A65" s="32" t="str">
        <f aca="false">IF($B65&lt;&gt;"",ROW()-5,"")</f>
        <v/>
      </c>
      <c r="B65" s="42"/>
      <c r="C65" s="42"/>
      <c r="D65" s="43"/>
      <c r="E65" s="42"/>
      <c r="F65" s="44"/>
      <c r="G65" s="45"/>
      <c r="H65" s="46"/>
    </row>
    <row r="66" customFormat="false" ht="18" hidden="false" customHeight="true" outlineLevel="0" collapsed="false">
      <c r="A66" s="32" t="str">
        <f aca="false">IF($B66&lt;&gt;"",ROW()-5,"")</f>
        <v/>
      </c>
      <c r="B66" s="42"/>
      <c r="C66" s="42"/>
      <c r="D66" s="43"/>
      <c r="E66" s="42"/>
      <c r="F66" s="44"/>
      <c r="G66" s="45"/>
      <c r="H66" s="46"/>
    </row>
    <row r="67" customFormat="false" ht="18" hidden="false" customHeight="true" outlineLevel="0" collapsed="false">
      <c r="A67" s="32" t="str">
        <f aca="false">IF($B67&lt;&gt;"",ROW()-5,"")</f>
        <v/>
      </c>
      <c r="B67" s="42"/>
      <c r="C67" s="42"/>
      <c r="D67" s="43"/>
      <c r="E67" s="42"/>
      <c r="F67" s="44"/>
      <c r="G67" s="45"/>
      <c r="H67" s="46"/>
    </row>
    <row r="68" customFormat="false" ht="18" hidden="false" customHeight="true" outlineLevel="0" collapsed="false">
      <c r="A68" s="32" t="str">
        <f aca="false">IF($B68&lt;&gt;"",ROW()-5,"")</f>
        <v/>
      </c>
      <c r="B68" s="42"/>
      <c r="C68" s="42"/>
      <c r="D68" s="43"/>
      <c r="E68" s="42"/>
      <c r="F68" s="44"/>
      <c r="G68" s="45"/>
      <c r="H68" s="46"/>
    </row>
    <row r="69" customFormat="false" ht="18" hidden="false" customHeight="true" outlineLevel="0" collapsed="false">
      <c r="A69" s="32" t="str">
        <f aca="false">IF($B69&lt;&gt;"",ROW()-5,"")</f>
        <v/>
      </c>
      <c r="B69" s="42"/>
      <c r="C69" s="42"/>
      <c r="D69" s="43"/>
      <c r="E69" s="42"/>
      <c r="F69" s="44"/>
      <c r="G69" s="45"/>
      <c r="H69" s="46"/>
    </row>
    <row r="70" customFormat="false" ht="18" hidden="false" customHeight="true" outlineLevel="0" collapsed="false">
      <c r="A70" s="32" t="str">
        <f aca="false">IF($B70&lt;&gt;"",ROW()-5,"")</f>
        <v/>
      </c>
      <c r="B70" s="42"/>
      <c r="C70" s="42"/>
      <c r="D70" s="43"/>
      <c r="E70" s="42"/>
      <c r="F70" s="44"/>
      <c r="G70" s="45"/>
      <c r="H70" s="46"/>
    </row>
    <row r="71" customFormat="false" ht="18" hidden="false" customHeight="true" outlineLevel="0" collapsed="false">
      <c r="A71" s="32" t="str">
        <f aca="false">IF($B71&lt;&gt;"",ROW()-5,"")</f>
        <v/>
      </c>
      <c r="B71" s="42"/>
      <c r="C71" s="42"/>
      <c r="D71" s="43"/>
      <c r="E71" s="42"/>
      <c r="F71" s="44"/>
      <c r="G71" s="45"/>
      <c r="H71" s="46"/>
    </row>
    <row r="72" customFormat="false" ht="18" hidden="false" customHeight="true" outlineLevel="0" collapsed="false">
      <c r="A72" s="32" t="str">
        <f aca="false">IF($B72&lt;&gt;"",ROW()-5,"")</f>
        <v/>
      </c>
      <c r="B72" s="42"/>
      <c r="C72" s="42"/>
      <c r="D72" s="43"/>
      <c r="E72" s="42"/>
      <c r="F72" s="44"/>
      <c r="G72" s="45"/>
      <c r="H72" s="46"/>
    </row>
    <row r="73" customFormat="false" ht="18" hidden="false" customHeight="true" outlineLevel="0" collapsed="false">
      <c r="A73" s="32" t="str">
        <f aca="false">IF($B73&lt;&gt;"",ROW()-5,"")</f>
        <v/>
      </c>
      <c r="B73" s="42"/>
      <c r="C73" s="42"/>
      <c r="D73" s="43"/>
      <c r="E73" s="42"/>
      <c r="F73" s="44"/>
      <c r="G73" s="45"/>
      <c r="H73" s="46"/>
    </row>
    <row r="74" customFormat="false" ht="18" hidden="false" customHeight="true" outlineLevel="0" collapsed="false">
      <c r="A74" s="32" t="str">
        <f aca="false">IF($B74&lt;&gt;"",ROW()-5,"")</f>
        <v/>
      </c>
      <c r="B74" s="42"/>
      <c r="C74" s="42"/>
      <c r="D74" s="43"/>
      <c r="E74" s="42"/>
      <c r="F74" s="44"/>
      <c r="G74" s="45"/>
      <c r="H74" s="46"/>
    </row>
    <row r="75" customFormat="false" ht="18" hidden="false" customHeight="true" outlineLevel="0" collapsed="false">
      <c r="A75" s="32" t="str">
        <f aca="false">IF($B75&lt;&gt;"",ROW()-5,"")</f>
        <v/>
      </c>
      <c r="B75" s="42"/>
      <c r="C75" s="42"/>
      <c r="D75" s="43"/>
      <c r="E75" s="42"/>
      <c r="F75" s="44"/>
      <c r="G75" s="45"/>
      <c r="H75" s="46"/>
    </row>
    <row r="76" customFormat="false" ht="18" hidden="false" customHeight="true" outlineLevel="0" collapsed="false">
      <c r="A76" s="32" t="str">
        <f aca="false">IF($B76&lt;&gt;"",ROW()-5,"")</f>
        <v/>
      </c>
      <c r="B76" s="42"/>
      <c r="C76" s="42"/>
      <c r="D76" s="43"/>
      <c r="E76" s="42"/>
      <c r="F76" s="44"/>
      <c r="G76" s="45"/>
      <c r="H76" s="46"/>
    </row>
    <row r="77" customFormat="false" ht="18" hidden="false" customHeight="true" outlineLevel="0" collapsed="false">
      <c r="A77" s="32" t="str">
        <f aca="false">IF($B77&lt;&gt;"",ROW()-5,"")</f>
        <v/>
      </c>
      <c r="B77" s="42"/>
      <c r="C77" s="42"/>
      <c r="D77" s="43"/>
      <c r="E77" s="42"/>
      <c r="F77" s="44"/>
      <c r="G77" s="45"/>
      <c r="H77" s="46"/>
    </row>
    <row r="78" customFormat="false" ht="18" hidden="false" customHeight="true" outlineLevel="0" collapsed="false">
      <c r="A78" s="32" t="str">
        <f aca="false">IF($B78&lt;&gt;"",ROW()-5,"")</f>
        <v/>
      </c>
      <c r="B78" s="42"/>
      <c r="C78" s="42"/>
      <c r="D78" s="43"/>
      <c r="E78" s="42"/>
      <c r="F78" s="44"/>
      <c r="G78" s="45"/>
      <c r="H78" s="46"/>
    </row>
    <row r="79" customFormat="false" ht="18" hidden="false" customHeight="true" outlineLevel="0" collapsed="false">
      <c r="A79" s="32" t="str">
        <f aca="false">IF($B79&lt;&gt;"",ROW()-5,"")</f>
        <v/>
      </c>
      <c r="B79" s="42"/>
      <c r="C79" s="42"/>
      <c r="D79" s="43"/>
      <c r="E79" s="42"/>
      <c r="F79" s="44"/>
      <c r="G79" s="45"/>
      <c r="H79" s="46"/>
    </row>
    <row r="80" customFormat="false" ht="18" hidden="false" customHeight="true" outlineLevel="0" collapsed="false">
      <c r="A80" s="32" t="str">
        <f aca="false">IF($B80&lt;&gt;"",ROW()-5,"")</f>
        <v/>
      </c>
      <c r="B80" s="42"/>
      <c r="C80" s="42"/>
      <c r="D80" s="43"/>
      <c r="E80" s="42"/>
      <c r="F80" s="44"/>
      <c r="G80" s="45"/>
      <c r="H80" s="46"/>
    </row>
    <row r="81" customFormat="false" ht="18" hidden="false" customHeight="true" outlineLevel="0" collapsed="false">
      <c r="A81" s="32" t="str">
        <f aca="false">IF($B81&lt;&gt;"",ROW()-5,"")</f>
        <v/>
      </c>
      <c r="B81" s="42"/>
      <c r="C81" s="42"/>
      <c r="D81" s="43"/>
      <c r="E81" s="42"/>
      <c r="F81" s="44"/>
      <c r="G81" s="45"/>
      <c r="H81" s="46"/>
    </row>
    <row r="82" customFormat="false" ht="18" hidden="false" customHeight="true" outlineLevel="0" collapsed="false">
      <c r="A82" s="32" t="str">
        <f aca="false">IF($B82&lt;&gt;"",ROW()-5,"")</f>
        <v/>
      </c>
      <c r="B82" s="42"/>
      <c r="C82" s="42"/>
      <c r="D82" s="43"/>
      <c r="E82" s="42"/>
      <c r="F82" s="44"/>
      <c r="G82" s="45"/>
      <c r="H82" s="46"/>
    </row>
    <row r="83" customFormat="false" ht="18" hidden="false" customHeight="true" outlineLevel="0" collapsed="false">
      <c r="A83" s="32" t="str">
        <f aca="false">IF($B83&lt;&gt;"",ROW()-5,"")</f>
        <v/>
      </c>
      <c r="B83" s="42"/>
      <c r="C83" s="42"/>
      <c r="D83" s="43"/>
      <c r="E83" s="42"/>
      <c r="F83" s="44"/>
      <c r="G83" s="45"/>
      <c r="H83" s="46"/>
    </row>
    <row r="84" customFormat="false" ht="18" hidden="false" customHeight="true" outlineLevel="0" collapsed="false">
      <c r="A84" s="32" t="str">
        <f aca="false">IF($B84&lt;&gt;"",ROW()-5,"")</f>
        <v/>
      </c>
      <c r="B84" s="42"/>
      <c r="C84" s="42"/>
      <c r="D84" s="43"/>
      <c r="E84" s="42"/>
      <c r="F84" s="44"/>
      <c r="G84" s="45"/>
      <c r="H84" s="46"/>
    </row>
    <row r="85" customFormat="false" ht="18" hidden="false" customHeight="true" outlineLevel="0" collapsed="false">
      <c r="A85" s="32" t="str">
        <f aca="false">IF($B85&lt;&gt;"",ROW()-5,"")</f>
        <v/>
      </c>
      <c r="B85" s="42"/>
      <c r="C85" s="42"/>
      <c r="D85" s="43"/>
      <c r="E85" s="42"/>
      <c r="F85" s="44"/>
      <c r="G85" s="45"/>
      <c r="H85" s="46"/>
    </row>
    <row r="86" customFormat="false" ht="18" hidden="false" customHeight="true" outlineLevel="0" collapsed="false">
      <c r="A86" s="32" t="str">
        <f aca="false">IF($B86&lt;&gt;"",ROW()-5,"")</f>
        <v/>
      </c>
      <c r="B86" s="42"/>
      <c r="C86" s="42"/>
      <c r="D86" s="43"/>
      <c r="E86" s="42"/>
      <c r="F86" s="44"/>
      <c r="G86" s="45"/>
      <c r="H86" s="46"/>
    </row>
    <row r="87" customFormat="false" ht="18" hidden="false" customHeight="true" outlineLevel="0" collapsed="false">
      <c r="A87" s="32" t="str">
        <f aca="false">IF($B87&lt;&gt;"",ROW()-5,"")</f>
        <v/>
      </c>
      <c r="B87" s="42"/>
      <c r="C87" s="42"/>
      <c r="D87" s="43"/>
      <c r="E87" s="42"/>
      <c r="F87" s="44"/>
      <c r="G87" s="45"/>
      <c r="H87" s="46"/>
    </row>
    <row r="88" customFormat="false" ht="18" hidden="false" customHeight="true" outlineLevel="0" collapsed="false">
      <c r="A88" s="32" t="str">
        <f aca="false">IF($B88&lt;&gt;"",ROW()-5,"")</f>
        <v/>
      </c>
      <c r="B88" s="42"/>
      <c r="C88" s="42"/>
      <c r="D88" s="43"/>
      <c r="E88" s="42"/>
      <c r="F88" s="44"/>
      <c r="G88" s="45"/>
      <c r="H88" s="46"/>
    </row>
    <row r="89" customFormat="false" ht="18" hidden="false" customHeight="true" outlineLevel="0" collapsed="false">
      <c r="A89" s="32" t="str">
        <f aca="false">IF($B89&lt;&gt;"",ROW()-5,"")</f>
        <v/>
      </c>
      <c r="B89" s="42"/>
      <c r="C89" s="42"/>
      <c r="D89" s="43"/>
      <c r="E89" s="42"/>
      <c r="F89" s="44"/>
      <c r="G89" s="45"/>
      <c r="H89" s="46"/>
    </row>
    <row r="90" customFormat="false" ht="18" hidden="false" customHeight="true" outlineLevel="0" collapsed="false">
      <c r="A90" s="32" t="str">
        <f aca="false">IF($B90&lt;&gt;"",ROW()-5,"")</f>
        <v/>
      </c>
      <c r="B90" s="42"/>
      <c r="C90" s="42"/>
      <c r="D90" s="43"/>
      <c r="E90" s="42"/>
      <c r="F90" s="44"/>
      <c r="G90" s="45"/>
      <c r="H90" s="46"/>
    </row>
    <row r="91" customFormat="false" ht="18" hidden="false" customHeight="true" outlineLevel="0" collapsed="false">
      <c r="A91" s="32" t="str">
        <f aca="false">IF($B91&lt;&gt;"",ROW()-5,"")</f>
        <v/>
      </c>
      <c r="B91" s="42"/>
      <c r="C91" s="42"/>
      <c r="D91" s="43"/>
      <c r="E91" s="42"/>
      <c r="F91" s="44"/>
      <c r="G91" s="45"/>
      <c r="H91" s="46"/>
    </row>
    <row r="92" customFormat="false" ht="18" hidden="false" customHeight="true" outlineLevel="0" collapsed="false">
      <c r="A92" s="32" t="str">
        <f aca="false">IF($B92&lt;&gt;"",ROW()-5,"")</f>
        <v/>
      </c>
      <c r="B92" s="42"/>
      <c r="C92" s="42"/>
      <c r="D92" s="43"/>
      <c r="E92" s="42"/>
      <c r="F92" s="44"/>
      <c r="G92" s="45"/>
      <c r="H92" s="46"/>
    </row>
    <row r="93" customFormat="false" ht="18" hidden="false" customHeight="true" outlineLevel="0" collapsed="false">
      <c r="A93" s="32" t="str">
        <f aca="false">IF($B93&lt;&gt;"",ROW()-5,"")</f>
        <v/>
      </c>
      <c r="B93" s="42"/>
      <c r="C93" s="42"/>
      <c r="D93" s="43"/>
      <c r="E93" s="42"/>
      <c r="F93" s="44"/>
      <c r="G93" s="45"/>
      <c r="H93" s="46"/>
    </row>
    <row r="94" customFormat="false" ht="18" hidden="false" customHeight="true" outlineLevel="0" collapsed="false">
      <c r="A94" s="32" t="str">
        <f aca="false">IF($B94&lt;&gt;"",ROW()-5,"")</f>
        <v/>
      </c>
      <c r="B94" s="42"/>
      <c r="C94" s="42"/>
      <c r="D94" s="43"/>
      <c r="E94" s="42"/>
      <c r="F94" s="44"/>
      <c r="G94" s="45"/>
      <c r="H94" s="46"/>
    </row>
    <row r="95" customFormat="false" ht="18" hidden="false" customHeight="true" outlineLevel="0" collapsed="false">
      <c r="A95" s="32" t="str">
        <f aca="false">IF($B95&lt;&gt;"",ROW()-5,"")</f>
        <v/>
      </c>
      <c r="B95" s="42"/>
      <c r="C95" s="42"/>
      <c r="D95" s="43"/>
      <c r="E95" s="42"/>
      <c r="F95" s="44"/>
      <c r="G95" s="45"/>
      <c r="H95" s="46"/>
    </row>
    <row r="96" customFormat="false" ht="18" hidden="false" customHeight="true" outlineLevel="0" collapsed="false">
      <c r="A96" s="32" t="str">
        <f aca="false">IF($B96&lt;&gt;"",ROW()-5,"")</f>
        <v/>
      </c>
      <c r="B96" s="42"/>
      <c r="C96" s="42"/>
      <c r="D96" s="43"/>
      <c r="E96" s="42"/>
      <c r="F96" s="44"/>
      <c r="G96" s="45"/>
      <c r="H96" s="46"/>
    </row>
    <row r="97" customFormat="false" ht="18" hidden="false" customHeight="true" outlineLevel="0" collapsed="false">
      <c r="A97" s="32" t="str">
        <f aca="false">IF($B97&lt;&gt;"",ROW()-5,"")</f>
        <v/>
      </c>
      <c r="B97" s="42"/>
      <c r="C97" s="42"/>
      <c r="D97" s="43"/>
      <c r="E97" s="42"/>
      <c r="F97" s="44"/>
      <c r="G97" s="45"/>
      <c r="H97" s="46"/>
    </row>
    <row r="98" customFormat="false" ht="18" hidden="false" customHeight="true" outlineLevel="0" collapsed="false">
      <c r="A98" s="32" t="str">
        <f aca="false">IF($B98&lt;&gt;"",ROW()-5,"")</f>
        <v/>
      </c>
      <c r="B98" s="42"/>
      <c r="C98" s="42"/>
      <c r="D98" s="43"/>
      <c r="E98" s="42"/>
      <c r="F98" s="44"/>
      <c r="G98" s="45"/>
      <c r="H98" s="46"/>
    </row>
    <row r="99" customFormat="false" ht="18" hidden="false" customHeight="true" outlineLevel="0" collapsed="false">
      <c r="A99" s="32" t="str">
        <f aca="false">IF($B99&lt;&gt;"",ROW()-5,"")</f>
        <v/>
      </c>
      <c r="B99" s="42"/>
      <c r="C99" s="42"/>
      <c r="D99" s="43"/>
      <c r="E99" s="42"/>
      <c r="F99" s="44"/>
      <c r="G99" s="45"/>
      <c r="H99" s="46"/>
    </row>
    <row r="100" customFormat="false" ht="18" hidden="false" customHeight="true" outlineLevel="0" collapsed="false">
      <c r="A100" s="32" t="str">
        <f aca="false">IF($B100&lt;&gt;"",ROW()-5,"")</f>
        <v/>
      </c>
      <c r="B100" s="42"/>
      <c r="C100" s="42"/>
      <c r="D100" s="43"/>
      <c r="E100" s="42"/>
      <c r="F100" s="44"/>
      <c r="G100" s="45"/>
      <c r="H100" s="46"/>
    </row>
    <row r="101" customFormat="false" ht="18" hidden="false" customHeight="true" outlineLevel="0" collapsed="false">
      <c r="A101" s="32" t="str">
        <f aca="false">IF($B101&lt;&gt;"",ROW()-5,"")</f>
        <v/>
      </c>
      <c r="B101" s="42"/>
      <c r="C101" s="42"/>
      <c r="D101" s="43"/>
      <c r="E101" s="42"/>
      <c r="F101" s="44"/>
      <c r="G101" s="45"/>
      <c r="H101" s="46"/>
    </row>
    <row r="102" customFormat="false" ht="18" hidden="false" customHeight="true" outlineLevel="0" collapsed="false">
      <c r="A102" s="32" t="str">
        <f aca="false">IF($B102&lt;&gt;"",ROW()-5,"")</f>
        <v/>
      </c>
      <c r="B102" s="42"/>
      <c r="C102" s="42"/>
      <c r="D102" s="43"/>
      <c r="E102" s="42"/>
      <c r="F102" s="44"/>
      <c r="G102" s="45"/>
      <c r="H102" s="46"/>
    </row>
    <row r="103" customFormat="false" ht="18" hidden="false" customHeight="true" outlineLevel="0" collapsed="false">
      <c r="A103" s="32" t="str">
        <f aca="false">IF($B103&lt;&gt;"",ROW()-5,"")</f>
        <v/>
      </c>
      <c r="B103" s="42"/>
      <c r="C103" s="42"/>
      <c r="D103" s="43"/>
      <c r="E103" s="42"/>
      <c r="F103" s="44"/>
      <c r="G103" s="45"/>
      <c r="H103" s="46"/>
    </row>
    <row r="104" customFormat="false" ht="18" hidden="false" customHeight="true" outlineLevel="0" collapsed="false">
      <c r="A104" s="32" t="str">
        <f aca="false">IF($B104&lt;&gt;"",ROW()-5,"")</f>
        <v/>
      </c>
      <c r="B104" s="42"/>
      <c r="C104" s="42"/>
      <c r="D104" s="43"/>
      <c r="E104" s="42"/>
      <c r="F104" s="44"/>
      <c r="G104" s="45"/>
      <c r="H104" s="46"/>
    </row>
    <row r="105" customFormat="false" ht="18" hidden="false" customHeight="true" outlineLevel="0" collapsed="false">
      <c r="A105" s="32" t="str">
        <f aca="false">IF($B105&lt;&gt;"",ROW()-5,"")</f>
        <v/>
      </c>
      <c r="B105" s="42"/>
      <c r="C105" s="42"/>
      <c r="D105" s="43"/>
      <c r="E105" s="42"/>
      <c r="F105" s="44"/>
      <c r="G105" s="45"/>
      <c r="H105" s="46"/>
    </row>
    <row r="106" customFormat="false" ht="18" hidden="false" customHeight="true" outlineLevel="0" collapsed="false">
      <c r="A106" s="32" t="str">
        <f aca="false">IF($B106&lt;&gt;"",ROW()-5,"")</f>
        <v/>
      </c>
      <c r="B106" s="42"/>
      <c r="C106" s="42"/>
      <c r="D106" s="43"/>
      <c r="E106" s="42"/>
      <c r="F106" s="44"/>
      <c r="G106" s="45"/>
      <c r="H106" s="46"/>
    </row>
    <row r="107" customFormat="false" ht="18" hidden="false" customHeight="true" outlineLevel="0" collapsed="false">
      <c r="A107" s="32" t="str">
        <f aca="false">IF($B107&lt;&gt;"",ROW()-5,"")</f>
        <v/>
      </c>
      <c r="B107" s="42"/>
      <c r="C107" s="42"/>
      <c r="D107" s="43"/>
      <c r="E107" s="42"/>
      <c r="F107" s="44"/>
      <c r="G107" s="45"/>
      <c r="H107" s="46"/>
    </row>
    <row r="108" customFormat="false" ht="18" hidden="false" customHeight="true" outlineLevel="0" collapsed="false">
      <c r="A108" s="32" t="str">
        <f aca="false">IF($B108&lt;&gt;"",ROW()-5,"")</f>
        <v/>
      </c>
      <c r="B108" s="42"/>
      <c r="C108" s="42"/>
      <c r="D108" s="43"/>
      <c r="E108" s="42"/>
      <c r="F108" s="44"/>
      <c r="G108" s="45"/>
      <c r="H108" s="46"/>
    </row>
    <row r="109" customFormat="false" ht="18" hidden="false" customHeight="true" outlineLevel="0" collapsed="false">
      <c r="A109" s="32" t="str">
        <f aca="false">IF($B109&lt;&gt;"",ROW()-5,"")</f>
        <v/>
      </c>
      <c r="B109" s="42"/>
      <c r="C109" s="42"/>
      <c r="D109" s="43"/>
      <c r="E109" s="42"/>
      <c r="F109" s="44"/>
      <c r="G109" s="45"/>
      <c r="H109" s="46"/>
    </row>
    <row r="110" customFormat="false" ht="18" hidden="false" customHeight="true" outlineLevel="0" collapsed="false">
      <c r="A110" s="32" t="str">
        <f aca="false">IF($B110&lt;&gt;"",ROW()-5,"")</f>
        <v/>
      </c>
      <c r="B110" s="42"/>
      <c r="C110" s="42"/>
      <c r="D110" s="43"/>
      <c r="E110" s="42"/>
      <c r="F110" s="44"/>
      <c r="G110" s="45"/>
      <c r="H110" s="46"/>
    </row>
    <row r="111" customFormat="false" ht="18" hidden="false" customHeight="true" outlineLevel="0" collapsed="false">
      <c r="A111" s="32" t="str">
        <f aca="false">IF($B111&lt;&gt;"",ROW()-5,"")</f>
        <v/>
      </c>
      <c r="B111" s="42"/>
      <c r="C111" s="42"/>
      <c r="D111" s="43"/>
      <c r="E111" s="42"/>
      <c r="F111" s="44"/>
      <c r="G111" s="45"/>
      <c r="H111" s="46"/>
    </row>
    <row r="112" customFormat="false" ht="18" hidden="false" customHeight="true" outlineLevel="0" collapsed="false">
      <c r="A112" s="32" t="str">
        <f aca="false">IF($B112&lt;&gt;"",ROW()-5,"")</f>
        <v/>
      </c>
      <c r="B112" s="42"/>
      <c r="C112" s="42"/>
      <c r="D112" s="43"/>
      <c r="E112" s="42"/>
      <c r="F112" s="44"/>
      <c r="G112" s="45"/>
      <c r="H112" s="46"/>
    </row>
    <row r="113" customFormat="false" ht="18" hidden="false" customHeight="true" outlineLevel="0" collapsed="false">
      <c r="A113" s="32" t="str">
        <f aca="false">IF($B113&lt;&gt;"",ROW()-5,"")</f>
        <v/>
      </c>
      <c r="B113" s="42"/>
      <c r="C113" s="42"/>
      <c r="D113" s="43"/>
      <c r="E113" s="42"/>
      <c r="F113" s="44"/>
      <c r="G113" s="45"/>
      <c r="H113" s="46"/>
    </row>
    <row r="114" customFormat="false" ht="18" hidden="false" customHeight="true" outlineLevel="0" collapsed="false">
      <c r="A114" s="32" t="str">
        <f aca="false">IF($B114&lt;&gt;"",ROW()-5,"")</f>
        <v/>
      </c>
      <c r="B114" s="42"/>
      <c r="C114" s="42"/>
      <c r="D114" s="43"/>
      <c r="E114" s="42"/>
      <c r="F114" s="44"/>
      <c r="G114" s="45"/>
      <c r="H114" s="46"/>
    </row>
    <row r="115" customFormat="false" ht="18" hidden="false" customHeight="true" outlineLevel="0" collapsed="false">
      <c r="A115" s="32" t="str">
        <f aca="false">IF($B115&lt;&gt;"",ROW()-5,"")</f>
        <v/>
      </c>
      <c r="B115" s="42"/>
      <c r="C115" s="42"/>
      <c r="D115" s="43"/>
      <c r="E115" s="42"/>
      <c r="F115" s="44"/>
      <c r="G115" s="45"/>
      <c r="H115" s="46"/>
    </row>
    <row r="116" customFormat="false" ht="18" hidden="false" customHeight="true" outlineLevel="0" collapsed="false">
      <c r="A116" s="32" t="str">
        <f aca="false">IF($B116&lt;&gt;"",ROW()-5,"")</f>
        <v/>
      </c>
      <c r="B116" s="42"/>
      <c r="C116" s="42"/>
      <c r="D116" s="43"/>
      <c r="E116" s="42"/>
      <c r="F116" s="44"/>
      <c r="G116" s="45"/>
      <c r="H116" s="46"/>
    </row>
    <row r="117" customFormat="false" ht="18" hidden="false" customHeight="true" outlineLevel="0" collapsed="false">
      <c r="A117" s="32" t="str">
        <f aca="false">IF($B117&lt;&gt;"",ROW()-5,"")</f>
        <v/>
      </c>
      <c r="B117" s="42"/>
      <c r="C117" s="42"/>
      <c r="D117" s="43"/>
      <c r="E117" s="42"/>
      <c r="F117" s="44"/>
      <c r="G117" s="45"/>
      <c r="H117" s="46"/>
    </row>
    <row r="118" customFormat="false" ht="18" hidden="false" customHeight="true" outlineLevel="0" collapsed="false">
      <c r="A118" s="32" t="str">
        <f aca="false">IF($B118&lt;&gt;"",ROW()-5,"")</f>
        <v/>
      </c>
      <c r="B118" s="42"/>
      <c r="C118" s="42"/>
      <c r="D118" s="43"/>
      <c r="E118" s="42"/>
      <c r="F118" s="44"/>
      <c r="G118" s="45"/>
      <c r="H118" s="46"/>
    </row>
    <row r="119" customFormat="false" ht="18" hidden="false" customHeight="true" outlineLevel="0" collapsed="false">
      <c r="A119" s="32" t="str">
        <f aca="false">IF($B119&lt;&gt;"",ROW()-5,"")</f>
        <v/>
      </c>
      <c r="B119" s="42"/>
      <c r="C119" s="42"/>
      <c r="D119" s="43"/>
      <c r="E119" s="42"/>
      <c r="F119" s="44"/>
      <c r="G119" s="45"/>
      <c r="H119" s="46"/>
    </row>
    <row r="120" customFormat="false" ht="18" hidden="false" customHeight="true" outlineLevel="0" collapsed="false">
      <c r="A120" s="32" t="str">
        <f aca="false">IF($B120&lt;&gt;"",ROW()-5,"")</f>
        <v/>
      </c>
      <c r="B120" s="42"/>
      <c r="C120" s="42"/>
      <c r="D120" s="43"/>
      <c r="E120" s="42"/>
      <c r="F120" s="44"/>
      <c r="G120" s="45"/>
      <c r="H120" s="46"/>
    </row>
    <row r="121" customFormat="false" ht="18" hidden="false" customHeight="true" outlineLevel="0" collapsed="false">
      <c r="A121" s="32" t="str">
        <f aca="false">IF($B121&lt;&gt;"",ROW()-5,"")</f>
        <v/>
      </c>
      <c r="B121" s="42"/>
      <c r="C121" s="42"/>
      <c r="D121" s="43"/>
      <c r="E121" s="42"/>
      <c r="F121" s="44"/>
      <c r="G121" s="45"/>
      <c r="H121" s="46"/>
    </row>
    <row r="122" customFormat="false" ht="18" hidden="false" customHeight="true" outlineLevel="0" collapsed="false">
      <c r="A122" s="32" t="str">
        <f aca="false">IF($B122&lt;&gt;"",ROW()-5,"")</f>
        <v/>
      </c>
      <c r="B122" s="42"/>
      <c r="C122" s="42"/>
      <c r="D122" s="43"/>
      <c r="E122" s="42"/>
      <c r="F122" s="44"/>
      <c r="G122" s="45"/>
      <c r="H122" s="46"/>
    </row>
    <row r="123" customFormat="false" ht="18" hidden="false" customHeight="true" outlineLevel="0" collapsed="false">
      <c r="A123" s="32" t="str">
        <f aca="false">IF($B123&lt;&gt;"",ROW()-5,"")</f>
        <v/>
      </c>
      <c r="B123" s="42"/>
      <c r="C123" s="42"/>
      <c r="D123" s="43"/>
      <c r="E123" s="42"/>
      <c r="F123" s="44"/>
      <c r="G123" s="45"/>
      <c r="H123" s="46"/>
    </row>
    <row r="124" customFormat="false" ht="18" hidden="false" customHeight="true" outlineLevel="0" collapsed="false">
      <c r="A124" s="32" t="str">
        <f aca="false">IF($B124&lt;&gt;"",ROW()-5,"")</f>
        <v/>
      </c>
      <c r="B124" s="42"/>
      <c r="C124" s="42"/>
      <c r="D124" s="43"/>
      <c r="E124" s="42"/>
      <c r="F124" s="44"/>
      <c r="G124" s="45"/>
      <c r="H124" s="46"/>
    </row>
    <row r="125" customFormat="false" ht="18" hidden="false" customHeight="true" outlineLevel="0" collapsed="false">
      <c r="A125" s="32" t="str">
        <f aca="false">IF($B125&lt;&gt;"",ROW()-5,"")</f>
        <v/>
      </c>
      <c r="B125" s="42"/>
      <c r="C125" s="42"/>
      <c r="D125" s="43"/>
      <c r="E125" s="42"/>
      <c r="F125" s="44"/>
      <c r="G125" s="45"/>
      <c r="H125" s="46"/>
    </row>
    <row r="126" customFormat="false" ht="18" hidden="false" customHeight="true" outlineLevel="0" collapsed="false">
      <c r="A126" s="32" t="str">
        <f aca="false">IF($B126&lt;&gt;"",ROW()-5,"")</f>
        <v/>
      </c>
      <c r="B126" s="42"/>
      <c r="C126" s="42"/>
      <c r="D126" s="43"/>
      <c r="E126" s="42"/>
      <c r="F126" s="44"/>
      <c r="G126" s="45"/>
      <c r="H126" s="46"/>
    </row>
    <row r="127" customFormat="false" ht="18" hidden="false" customHeight="true" outlineLevel="0" collapsed="false">
      <c r="A127" s="32" t="str">
        <f aca="false">IF($B127&lt;&gt;"",ROW()-5,"")</f>
        <v/>
      </c>
      <c r="B127" s="42"/>
      <c r="C127" s="42"/>
      <c r="D127" s="43"/>
      <c r="E127" s="42"/>
      <c r="F127" s="44"/>
      <c r="G127" s="45"/>
      <c r="H127" s="46"/>
    </row>
    <row r="128" customFormat="false" ht="18" hidden="false" customHeight="true" outlineLevel="0" collapsed="false">
      <c r="A128" s="32" t="str">
        <f aca="false">IF($B128&lt;&gt;"",ROW()-5,"")</f>
        <v/>
      </c>
      <c r="B128" s="42"/>
      <c r="C128" s="42"/>
      <c r="D128" s="43"/>
      <c r="E128" s="42"/>
      <c r="F128" s="44"/>
      <c r="G128" s="45"/>
      <c r="H128" s="46"/>
    </row>
    <row r="129" customFormat="false" ht="18" hidden="false" customHeight="true" outlineLevel="0" collapsed="false">
      <c r="A129" s="32" t="str">
        <f aca="false">IF($B129&lt;&gt;"",ROW()-5,"")</f>
        <v/>
      </c>
      <c r="B129" s="42"/>
      <c r="C129" s="42"/>
      <c r="D129" s="43"/>
      <c r="E129" s="42"/>
      <c r="F129" s="44"/>
      <c r="G129" s="45"/>
      <c r="H129" s="46"/>
    </row>
    <row r="130" customFormat="false" ht="18" hidden="false" customHeight="true" outlineLevel="0" collapsed="false">
      <c r="A130" s="32" t="str">
        <f aca="false">IF($B130&lt;&gt;"",ROW()-5,"")</f>
        <v/>
      </c>
      <c r="B130" s="42"/>
      <c r="C130" s="42"/>
      <c r="D130" s="43"/>
      <c r="E130" s="42"/>
      <c r="F130" s="44"/>
      <c r="G130" s="45"/>
      <c r="H130" s="46"/>
    </row>
    <row r="131" customFormat="false" ht="18" hidden="false" customHeight="true" outlineLevel="0" collapsed="false">
      <c r="A131" s="32" t="str">
        <f aca="false">IF($B131&lt;&gt;"",ROW()-5,"")</f>
        <v/>
      </c>
      <c r="B131" s="42"/>
      <c r="C131" s="42"/>
      <c r="D131" s="43"/>
      <c r="E131" s="42"/>
      <c r="F131" s="44"/>
      <c r="G131" s="45"/>
      <c r="H131" s="46"/>
    </row>
    <row r="132" customFormat="false" ht="18" hidden="false" customHeight="true" outlineLevel="0" collapsed="false">
      <c r="A132" s="32" t="str">
        <f aca="false">IF($B132&lt;&gt;"",ROW()-5,"")</f>
        <v/>
      </c>
      <c r="B132" s="42"/>
      <c r="C132" s="42"/>
      <c r="D132" s="43"/>
      <c r="E132" s="42"/>
      <c r="F132" s="44"/>
      <c r="G132" s="45"/>
      <c r="H132" s="46"/>
    </row>
    <row r="133" customFormat="false" ht="18" hidden="false" customHeight="true" outlineLevel="0" collapsed="false">
      <c r="A133" s="32" t="str">
        <f aca="false">IF($B133&lt;&gt;"",ROW()-5,"")</f>
        <v/>
      </c>
      <c r="B133" s="42"/>
      <c r="C133" s="42"/>
      <c r="D133" s="43"/>
      <c r="E133" s="42"/>
      <c r="F133" s="44"/>
      <c r="G133" s="45"/>
      <c r="H133" s="46"/>
    </row>
    <row r="134" customFormat="false" ht="18" hidden="false" customHeight="true" outlineLevel="0" collapsed="false">
      <c r="A134" s="32" t="str">
        <f aca="false">IF($B134&lt;&gt;"",ROW()-5,"")</f>
        <v/>
      </c>
      <c r="B134" s="42"/>
      <c r="C134" s="42"/>
      <c r="D134" s="43"/>
      <c r="E134" s="42"/>
      <c r="F134" s="44"/>
      <c r="G134" s="45"/>
      <c r="H134" s="46"/>
    </row>
    <row r="135" customFormat="false" ht="18" hidden="false" customHeight="true" outlineLevel="0" collapsed="false">
      <c r="A135" s="32" t="str">
        <f aca="false">IF($B135&lt;&gt;"",ROW()-5,"")</f>
        <v/>
      </c>
      <c r="B135" s="42"/>
      <c r="C135" s="42"/>
      <c r="D135" s="43"/>
      <c r="E135" s="42"/>
      <c r="F135" s="44"/>
      <c r="G135" s="45"/>
      <c r="H135" s="46"/>
    </row>
    <row r="136" customFormat="false" ht="18" hidden="false" customHeight="true" outlineLevel="0" collapsed="false">
      <c r="A136" s="32" t="str">
        <f aca="false">IF($B136&lt;&gt;"",ROW()-5,"")</f>
        <v/>
      </c>
      <c r="B136" s="42"/>
      <c r="C136" s="42"/>
      <c r="D136" s="43"/>
      <c r="E136" s="42"/>
      <c r="F136" s="44"/>
      <c r="G136" s="45"/>
      <c r="H136" s="46"/>
    </row>
    <row r="137" customFormat="false" ht="18" hidden="false" customHeight="true" outlineLevel="0" collapsed="false">
      <c r="A137" s="32" t="str">
        <f aca="false">IF($B137&lt;&gt;"",ROW()-5,"")</f>
        <v/>
      </c>
      <c r="B137" s="42"/>
      <c r="C137" s="42"/>
      <c r="D137" s="43"/>
      <c r="E137" s="42"/>
      <c r="F137" s="44"/>
      <c r="G137" s="45"/>
      <c r="H137" s="46"/>
    </row>
    <row r="138" customFormat="false" ht="18" hidden="false" customHeight="true" outlineLevel="0" collapsed="false">
      <c r="A138" s="32" t="str">
        <f aca="false">IF($B138&lt;&gt;"",ROW()-5,"")</f>
        <v/>
      </c>
      <c r="B138" s="42"/>
      <c r="C138" s="42"/>
      <c r="D138" s="43"/>
      <c r="E138" s="42"/>
      <c r="F138" s="44"/>
      <c r="G138" s="45"/>
      <c r="H138" s="46"/>
    </row>
    <row r="139" customFormat="false" ht="18" hidden="false" customHeight="true" outlineLevel="0" collapsed="false">
      <c r="A139" s="32" t="str">
        <f aca="false">IF($B139&lt;&gt;"",ROW()-5,"")</f>
        <v/>
      </c>
      <c r="B139" s="42"/>
      <c r="C139" s="42"/>
      <c r="D139" s="43"/>
      <c r="E139" s="42"/>
      <c r="F139" s="44"/>
      <c r="G139" s="45"/>
      <c r="H139" s="46"/>
    </row>
    <row r="140" customFormat="false" ht="18" hidden="false" customHeight="true" outlineLevel="0" collapsed="false">
      <c r="A140" s="32" t="str">
        <f aca="false">IF($B140&lt;&gt;"",ROW()-5,"")</f>
        <v/>
      </c>
      <c r="B140" s="42"/>
      <c r="C140" s="42"/>
      <c r="D140" s="43"/>
      <c r="E140" s="42"/>
      <c r="F140" s="44"/>
      <c r="G140" s="45"/>
      <c r="H140" s="46"/>
    </row>
    <row r="141" customFormat="false" ht="18" hidden="false" customHeight="true" outlineLevel="0" collapsed="false">
      <c r="A141" s="32" t="str">
        <f aca="false">IF($B141&lt;&gt;"",ROW()-5,"")</f>
        <v/>
      </c>
      <c r="B141" s="42"/>
      <c r="C141" s="42"/>
      <c r="D141" s="43"/>
      <c r="E141" s="42"/>
      <c r="F141" s="44"/>
      <c r="G141" s="45"/>
      <c r="H141" s="46"/>
    </row>
    <row r="142" customFormat="false" ht="18" hidden="false" customHeight="true" outlineLevel="0" collapsed="false">
      <c r="A142" s="32" t="str">
        <f aca="false">IF($B142&lt;&gt;"",ROW()-5,"")</f>
        <v/>
      </c>
      <c r="B142" s="42"/>
      <c r="C142" s="42"/>
      <c r="D142" s="43"/>
      <c r="E142" s="42"/>
      <c r="F142" s="44"/>
      <c r="G142" s="45"/>
      <c r="H142" s="46"/>
    </row>
    <row r="143" customFormat="false" ht="18" hidden="false" customHeight="true" outlineLevel="0" collapsed="false">
      <c r="A143" s="32" t="str">
        <f aca="false">IF($B143&lt;&gt;"",ROW()-5,"")</f>
        <v/>
      </c>
      <c r="B143" s="42"/>
      <c r="C143" s="42"/>
      <c r="D143" s="43"/>
      <c r="E143" s="42"/>
      <c r="F143" s="44"/>
      <c r="G143" s="45"/>
      <c r="H143" s="46"/>
    </row>
    <row r="144" customFormat="false" ht="18" hidden="false" customHeight="true" outlineLevel="0" collapsed="false">
      <c r="A144" s="32" t="str">
        <f aca="false">IF($B144&lt;&gt;"",ROW()-5,"")</f>
        <v/>
      </c>
      <c r="B144" s="42"/>
      <c r="C144" s="42"/>
      <c r="D144" s="43"/>
      <c r="E144" s="42"/>
      <c r="F144" s="44"/>
      <c r="G144" s="45"/>
      <c r="H144" s="46"/>
    </row>
    <row r="145" customFormat="false" ht="18" hidden="false" customHeight="true" outlineLevel="0" collapsed="false">
      <c r="A145" s="32" t="str">
        <f aca="false">IF($B145&lt;&gt;"",ROW()-5,"")</f>
        <v/>
      </c>
      <c r="B145" s="42"/>
      <c r="C145" s="42"/>
      <c r="D145" s="43"/>
      <c r="E145" s="42"/>
      <c r="F145" s="44"/>
      <c r="G145" s="45"/>
      <c r="H145" s="46"/>
    </row>
    <row r="146" customFormat="false" ht="18" hidden="false" customHeight="true" outlineLevel="0" collapsed="false">
      <c r="A146" s="32" t="str">
        <f aca="false">IF($B146&lt;&gt;"",ROW()-5,"")</f>
        <v/>
      </c>
      <c r="B146" s="42"/>
      <c r="C146" s="42"/>
      <c r="D146" s="43"/>
      <c r="E146" s="42"/>
      <c r="F146" s="44"/>
      <c r="G146" s="45"/>
      <c r="H146" s="46"/>
    </row>
    <row r="147" customFormat="false" ht="18" hidden="false" customHeight="true" outlineLevel="0" collapsed="false">
      <c r="A147" s="32" t="str">
        <f aca="false">IF($B147&lt;&gt;"",ROW()-5,"")</f>
        <v/>
      </c>
      <c r="B147" s="42"/>
      <c r="C147" s="42"/>
      <c r="D147" s="43"/>
      <c r="E147" s="42"/>
      <c r="F147" s="44"/>
      <c r="G147" s="45"/>
      <c r="H147" s="46"/>
    </row>
    <row r="148" customFormat="false" ht="18" hidden="false" customHeight="true" outlineLevel="0" collapsed="false">
      <c r="A148" s="32" t="str">
        <f aca="false">IF($B148&lt;&gt;"",ROW()-5,"")</f>
        <v/>
      </c>
      <c r="B148" s="42"/>
      <c r="C148" s="42"/>
      <c r="D148" s="43"/>
      <c r="E148" s="42"/>
      <c r="F148" s="44"/>
      <c r="G148" s="45"/>
      <c r="H148" s="46"/>
    </row>
    <row r="149" customFormat="false" ht="18" hidden="false" customHeight="true" outlineLevel="0" collapsed="false">
      <c r="A149" s="32" t="str">
        <f aca="false">IF($B149&lt;&gt;"",ROW()-5,"")</f>
        <v/>
      </c>
      <c r="B149" s="42"/>
      <c r="C149" s="42"/>
      <c r="D149" s="43"/>
      <c r="E149" s="42"/>
      <c r="F149" s="44"/>
      <c r="G149" s="45"/>
      <c r="H149" s="46"/>
    </row>
    <row r="150" customFormat="false" ht="18" hidden="false" customHeight="true" outlineLevel="0" collapsed="false">
      <c r="A150" s="32" t="str">
        <f aca="false">IF($B150&lt;&gt;"",ROW()-5,"")</f>
        <v/>
      </c>
      <c r="B150" s="42"/>
      <c r="C150" s="42"/>
      <c r="D150" s="43"/>
      <c r="E150" s="42"/>
      <c r="F150" s="44"/>
      <c r="G150" s="45"/>
      <c r="H150" s="46"/>
    </row>
    <row r="151" customFormat="false" ht="18" hidden="false" customHeight="true" outlineLevel="0" collapsed="false">
      <c r="A151" s="32" t="str">
        <f aca="false">IF($B151&lt;&gt;"",ROW()-5,"")</f>
        <v/>
      </c>
      <c r="B151" s="42"/>
      <c r="C151" s="42"/>
      <c r="D151" s="43"/>
      <c r="E151" s="42"/>
      <c r="F151" s="44"/>
      <c r="G151" s="45"/>
      <c r="H151" s="46"/>
    </row>
    <row r="152" customFormat="false" ht="18" hidden="false" customHeight="true" outlineLevel="0" collapsed="false">
      <c r="A152" s="32" t="str">
        <f aca="false">IF($B152&lt;&gt;"",ROW()-5,"")</f>
        <v/>
      </c>
      <c r="B152" s="42"/>
      <c r="C152" s="42"/>
      <c r="D152" s="43"/>
      <c r="E152" s="42"/>
      <c r="F152" s="44"/>
      <c r="G152" s="45"/>
      <c r="H152" s="46"/>
    </row>
    <row r="153" customFormat="false" ht="18" hidden="false" customHeight="true" outlineLevel="0" collapsed="false">
      <c r="A153" s="32" t="str">
        <f aca="false">IF($B153&lt;&gt;"",ROW()-5,"")</f>
        <v/>
      </c>
      <c r="B153" s="42"/>
      <c r="C153" s="42"/>
      <c r="D153" s="43"/>
      <c r="E153" s="42"/>
      <c r="F153" s="44"/>
      <c r="G153" s="45"/>
      <c r="H153" s="46"/>
    </row>
    <row r="154" customFormat="false" ht="18" hidden="false" customHeight="true" outlineLevel="0" collapsed="false">
      <c r="A154" s="32" t="str">
        <f aca="false">IF($B154&lt;&gt;"",ROW()-5,"")</f>
        <v/>
      </c>
      <c r="B154" s="42"/>
      <c r="C154" s="42"/>
      <c r="D154" s="43"/>
      <c r="E154" s="42"/>
      <c r="F154" s="44"/>
      <c r="G154" s="45"/>
      <c r="H154" s="46"/>
    </row>
    <row r="155" customFormat="false" ht="18" hidden="false" customHeight="true" outlineLevel="0" collapsed="false">
      <c r="A155" s="32" t="str">
        <f aca="false">IF($B155&lt;&gt;"",ROW()-5,"")</f>
        <v/>
      </c>
      <c r="B155" s="42"/>
      <c r="C155" s="42"/>
      <c r="D155" s="43"/>
      <c r="E155" s="42"/>
      <c r="F155" s="44"/>
      <c r="G155" s="45"/>
      <c r="H155" s="46"/>
    </row>
    <row r="156" customFormat="false" ht="18" hidden="false" customHeight="true" outlineLevel="0" collapsed="false">
      <c r="A156" s="32" t="str">
        <f aca="false">IF($B156&lt;&gt;"",ROW()-5,"")</f>
        <v/>
      </c>
      <c r="B156" s="42"/>
      <c r="C156" s="42"/>
      <c r="D156" s="43"/>
      <c r="E156" s="42"/>
      <c r="F156" s="44"/>
      <c r="G156" s="45"/>
      <c r="H156" s="46"/>
    </row>
    <row r="157" customFormat="false" ht="18" hidden="false" customHeight="true" outlineLevel="0" collapsed="false">
      <c r="A157" s="32" t="str">
        <f aca="false">IF($B157&lt;&gt;"",ROW()-5,"")</f>
        <v/>
      </c>
      <c r="B157" s="42"/>
      <c r="C157" s="42"/>
      <c r="D157" s="43"/>
      <c r="E157" s="42"/>
      <c r="F157" s="44"/>
      <c r="G157" s="45"/>
      <c r="H157" s="46"/>
    </row>
    <row r="158" customFormat="false" ht="18" hidden="false" customHeight="true" outlineLevel="0" collapsed="false">
      <c r="A158" s="32" t="str">
        <f aca="false">IF($B158&lt;&gt;"",ROW()-5,"")</f>
        <v/>
      </c>
      <c r="B158" s="42"/>
      <c r="C158" s="42"/>
      <c r="D158" s="43"/>
      <c r="E158" s="42"/>
      <c r="F158" s="44"/>
      <c r="G158" s="45"/>
      <c r="H158" s="46"/>
    </row>
    <row r="159" customFormat="false" ht="18" hidden="false" customHeight="true" outlineLevel="0" collapsed="false">
      <c r="A159" s="32" t="str">
        <f aca="false">IF($B159&lt;&gt;"",ROW()-5,"")</f>
        <v/>
      </c>
      <c r="B159" s="42"/>
      <c r="C159" s="42"/>
      <c r="D159" s="43"/>
      <c r="E159" s="42"/>
      <c r="F159" s="44"/>
      <c r="G159" s="45"/>
      <c r="H159" s="46"/>
    </row>
    <row r="160" customFormat="false" ht="18" hidden="false" customHeight="true" outlineLevel="0" collapsed="false">
      <c r="A160" s="32" t="str">
        <f aca="false">IF($B160&lt;&gt;"",ROW()-5,"")</f>
        <v/>
      </c>
      <c r="B160" s="42"/>
      <c r="C160" s="42"/>
      <c r="D160" s="43"/>
      <c r="E160" s="42"/>
      <c r="F160" s="44"/>
      <c r="G160" s="45"/>
      <c r="H160" s="46"/>
    </row>
    <row r="161" customFormat="false" ht="18" hidden="false" customHeight="true" outlineLevel="0" collapsed="false">
      <c r="A161" s="32" t="str">
        <f aca="false">IF($B161&lt;&gt;"",ROW()-5,"")</f>
        <v/>
      </c>
      <c r="B161" s="42"/>
      <c r="C161" s="42"/>
      <c r="D161" s="43"/>
      <c r="E161" s="42"/>
      <c r="F161" s="44"/>
      <c r="G161" s="45"/>
      <c r="H161" s="46"/>
    </row>
    <row r="162" customFormat="false" ht="18" hidden="false" customHeight="true" outlineLevel="0" collapsed="false">
      <c r="A162" s="32" t="str">
        <f aca="false">IF($B162&lt;&gt;"",ROW()-5,"")</f>
        <v/>
      </c>
      <c r="B162" s="42"/>
      <c r="C162" s="42"/>
      <c r="D162" s="43"/>
      <c r="E162" s="42"/>
      <c r="F162" s="44"/>
      <c r="G162" s="45"/>
      <c r="H162" s="46"/>
    </row>
    <row r="163" customFormat="false" ht="18" hidden="false" customHeight="true" outlineLevel="0" collapsed="false">
      <c r="A163" s="32" t="str">
        <f aca="false">IF($B163&lt;&gt;"",ROW()-5,"")</f>
        <v/>
      </c>
      <c r="B163" s="42"/>
      <c r="C163" s="42"/>
      <c r="D163" s="43"/>
      <c r="E163" s="42"/>
      <c r="F163" s="44"/>
      <c r="G163" s="45"/>
      <c r="H163" s="46"/>
    </row>
    <row r="164" customFormat="false" ht="18" hidden="false" customHeight="true" outlineLevel="0" collapsed="false">
      <c r="A164" s="32" t="str">
        <f aca="false">IF($B164&lt;&gt;"",ROW()-5,"")</f>
        <v/>
      </c>
      <c r="B164" s="42"/>
      <c r="C164" s="42"/>
      <c r="D164" s="43"/>
      <c r="E164" s="42"/>
      <c r="F164" s="44"/>
      <c r="G164" s="45"/>
      <c r="H164" s="46"/>
    </row>
    <row r="165" customFormat="false" ht="18" hidden="false" customHeight="true" outlineLevel="0" collapsed="false">
      <c r="A165" s="32" t="str">
        <f aca="false">IF($B165&lt;&gt;"",ROW()-5,"")</f>
        <v/>
      </c>
      <c r="B165" s="42"/>
      <c r="C165" s="42"/>
      <c r="D165" s="43"/>
      <c r="E165" s="42"/>
      <c r="F165" s="44"/>
      <c r="G165" s="45"/>
      <c r="H165" s="46"/>
    </row>
    <row r="166" customFormat="false" ht="18" hidden="false" customHeight="true" outlineLevel="0" collapsed="false">
      <c r="A166" s="32" t="str">
        <f aca="false">IF($B166&lt;&gt;"",ROW()-5,"")</f>
        <v/>
      </c>
      <c r="B166" s="42"/>
      <c r="C166" s="42"/>
      <c r="D166" s="43"/>
      <c r="E166" s="42"/>
      <c r="F166" s="44"/>
      <c r="G166" s="45"/>
      <c r="H166" s="46"/>
    </row>
    <row r="167" customFormat="false" ht="18" hidden="false" customHeight="true" outlineLevel="0" collapsed="false">
      <c r="A167" s="32" t="str">
        <f aca="false">IF($B167&lt;&gt;"",ROW()-5,"")</f>
        <v/>
      </c>
      <c r="B167" s="42"/>
      <c r="C167" s="42"/>
      <c r="D167" s="43"/>
      <c r="E167" s="42"/>
      <c r="F167" s="44"/>
      <c r="G167" s="45"/>
      <c r="H167" s="46"/>
    </row>
    <row r="168" customFormat="false" ht="18" hidden="false" customHeight="true" outlineLevel="0" collapsed="false">
      <c r="A168" s="32" t="str">
        <f aca="false">IF($B168&lt;&gt;"",ROW()-5,"")</f>
        <v/>
      </c>
      <c r="B168" s="42"/>
      <c r="C168" s="42"/>
      <c r="D168" s="43"/>
      <c r="E168" s="42"/>
      <c r="F168" s="44"/>
      <c r="G168" s="45"/>
      <c r="H168" s="46"/>
    </row>
    <row r="169" customFormat="false" ht="18" hidden="false" customHeight="true" outlineLevel="0" collapsed="false">
      <c r="A169" s="32" t="str">
        <f aca="false">IF($B169&lt;&gt;"",ROW()-5,"")</f>
        <v/>
      </c>
      <c r="B169" s="42"/>
      <c r="C169" s="42"/>
      <c r="D169" s="43"/>
      <c r="E169" s="42"/>
      <c r="F169" s="44"/>
      <c r="G169" s="45"/>
      <c r="H169" s="46"/>
    </row>
    <row r="170" customFormat="false" ht="18" hidden="false" customHeight="true" outlineLevel="0" collapsed="false">
      <c r="A170" s="32" t="str">
        <f aca="false">IF($B170&lt;&gt;"",ROW()-5,"")</f>
        <v/>
      </c>
      <c r="B170" s="42"/>
      <c r="C170" s="42"/>
      <c r="D170" s="43"/>
      <c r="E170" s="42"/>
      <c r="F170" s="44"/>
      <c r="G170" s="45"/>
      <c r="H170" s="46"/>
    </row>
    <row r="171" customFormat="false" ht="18" hidden="false" customHeight="true" outlineLevel="0" collapsed="false">
      <c r="A171" s="32" t="str">
        <f aca="false">IF($B171&lt;&gt;"",ROW()-5,"")</f>
        <v/>
      </c>
      <c r="B171" s="42"/>
      <c r="C171" s="42"/>
      <c r="D171" s="43"/>
      <c r="E171" s="42"/>
      <c r="F171" s="44"/>
      <c r="G171" s="45"/>
      <c r="H171" s="46"/>
    </row>
    <row r="172" customFormat="false" ht="18" hidden="false" customHeight="true" outlineLevel="0" collapsed="false">
      <c r="A172" s="32" t="str">
        <f aca="false">IF($B172&lt;&gt;"",ROW()-5,"")</f>
        <v/>
      </c>
      <c r="B172" s="42"/>
      <c r="C172" s="42"/>
      <c r="D172" s="43"/>
      <c r="E172" s="42"/>
      <c r="F172" s="44"/>
      <c r="G172" s="45"/>
      <c r="H172" s="46"/>
    </row>
    <row r="173" customFormat="false" ht="18" hidden="false" customHeight="true" outlineLevel="0" collapsed="false">
      <c r="A173" s="32" t="str">
        <f aca="false">IF($B173&lt;&gt;"",ROW()-5,"")</f>
        <v/>
      </c>
      <c r="B173" s="42"/>
      <c r="C173" s="42"/>
      <c r="D173" s="43"/>
      <c r="E173" s="42"/>
      <c r="F173" s="44"/>
      <c r="G173" s="45"/>
      <c r="H173" s="46"/>
    </row>
    <row r="174" customFormat="false" ht="18" hidden="false" customHeight="true" outlineLevel="0" collapsed="false">
      <c r="A174" s="32" t="str">
        <f aca="false">IF($B174&lt;&gt;"",ROW()-5,"")</f>
        <v/>
      </c>
      <c r="B174" s="42"/>
      <c r="C174" s="42"/>
      <c r="D174" s="43"/>
      <c r="E174" s="42"/>
      <c r="F174" s="44"/>
      <c r="G174" s="45"/>
      <c r="H174" s="46"/>
    </row>
    <row r="175" customFormat="false" ht="18" hidden="false" customHeight="true" outlineLevel="0" collapsed="false">
      <c r="A175" s="32" t="str">
        <f aca="false">IF($B175&lt;&gt;"",ROW()-5,"")</f>
        <v/>
      </c>
      <c r="B175" s="42"/>
      <c r="C175" s="42"/>
      <c r="D175" s="43"/>
      <c r="E175" s="42"/>
      <c r="F175" s="44"/>
      <c r="G175" s="45"/>
      <c r="H175" s="46"/>
    </row>
    <row r="176" customFormat="false" ht="18" hidden="false" customHeight="true" outlineLevel="0" collapsed="false">
      <c r="A176" s="32" t="str">
        <f aca="false">IF($B176&lt;&gt;"",ROW()-5,"")</f>
        <v/>
      </c>
      <c r="B176" s="42"/>
      <c r="C176" s="42"/>
      <c r="D176" s="43"/>
      <c r="E176" s="42"/>
      <c r="F176" s="44"/>
      <c r="G176" s="45"/>
      <c r="H176" s="46"/>
    </row>
    <row r="177" customFormat="false" ht="18" hidden="false" customHeight="true" outlineLevel="0" collapsed="false">
      <c r="A177" s="32" t="str">
        <f aca="false">IF($B177&lt;&gt;"",ROW()-5,"")</f>
        <v/>
      </c>
      <c r="B177" s="42"/>
      <c r="C177" s="42"/>
      <c r="D177" s="43"/>
      <c r="E177" s="42"/>
      <c r="F177" s="44"/>
      <c r="G177" s="45"/>
      <c r="H177" s="46"/>
    </row>
    <row r="178" customFormat="false" ht="18" hidden="false" customHeight="true" outlineLevel="0" collapsed="false">
      <c r="A178" s="32" t="str">
        <f aca="false">IF($B178&lt;&gt;"",ROW()-5,"")</f>
        <v/>
      </c>
      <c r="B178" s="42"/>
      <c r="C178" s="42"/>
      <c r="D178" s="43"/>
      <c r="E178" s="42"/>
      <c r="F178" s="44"/>
      <c r="G178" s="45"/>
      <c r="H178" s="46"/>
    </row>
    <row r="179" customFormat="false" ht="18" hidden="false" customHeight="true" outlineLevel="0" collapsed="false">
      <c r="A179" s="32" t="str">
        <f aca="false">IF($B179&lt;&gt;"",ROW()-5,"")</f>
        <v/>
      </c>
      <c r="B179" s="42"/>
      <c r="C179" s="42"/>
      <c r="D179" s="43"/>
      <c r="E179" s="42"/>
      <c r="F179" s="44"/>
      <c r="G179" s="45"/>
      <c r="H179" s="46"/>
    </row>
    <row r="180" customFormat="false" ht="18" hidden="false" customHeight="true" outlineLevel="0" collapsed="false">
      <c r="A180" s="32" t="str">
        <f aca="false">IF($B180&lt;&gt;"",ROW()-5,"")</f>
        <v/>
      </c>
      <c r="B180" s="42"/>
      <c r="C180" s="42"/>
      <c r="D180" s="43"/>
      <c r="E180" s="42"/>
      <c r="F180" s="44"/>
      <c r="G180" s="45"/>
      <c r="H180" s="46"/>
    </row>
    <row r="181" customFormat="false" ht="18" hidden="false" customHeight="true" outlineLevel="0" collapsed="false">
      <c r="A181" s="32" t="str">
        <f aca="false">IF($B181&lt;&gt;"",ROW()-5,"")</f>
        <v/>
      </c>
      <c r="B181" s="42"/>
      <c r="C181" s="42"/>
      <c r="D181" s="43"/>
      <c r="E181" s="42"/>
      <c r="F181" s="44"/>
      <c r="G181" s="45"/>
      <c r="H181" s="46"/>
    </row>
    <row r="182" customFormat="false" ht="18" hidden="false" customHeight="true" outlineLevel="0" collapsed="false">
      <c r="A182" s="32" t="str">
        <f aca="false">IF($B182&lt;&gt;"",ROW()-5,"")</f>
        <v/>
      </c>
      <c r="B182" s="42"/>
      <c r="C182" s="42"/>
      <c r="D182" s="43"/>
      <c r="E182" s="42"/>
      <c r="F182" s="44"/>
      <c r="G182" s="45"/>
      <c r="H182" s="46"/>
    </row>
    <row r="183" customFormat="false" ht="18" hidden="false" customHeight="true" outlineLevel="0" collapsed="false">
      <c r="A183" s="32" t="str">
        <f aca="false">IF($B183&lt;&gt;"",ROW()-5,"")</f>
        <v/>
      </c>
      <c r="B183" s="42"/>
      <c r="C183" s="42"/>
      <c r="D183" s="43"/>
      <c r="E183" s="42"/>
      <c r="F183" s="44"/>
      <c r="G183" s="45"/>
      <c r="H183" s="46"/>
    </row>
    <row r="184" customFormat="false" ht="18" hidden="false" customHeight="true" outlineLevel="0" collapsed="false">
      <c r="A184" s="32" t="str">
        <f aca="false">IF($B184&lt;&gt;"",ROW()-5,"")</f>
        <v/>
      </c>
      <c r="B184" s="42"/>
      <c r="C184" s="42"/>
      <c r="D184" s="43"/>
      <c r="E184" s="42"/>
      <c r="F184" s="44"/>
      <c r="G184" s="45"/>
      <c r="H184" s="46"/>
    </row>
    <row r="185" customFormat="false" ht="18" hidden="false" customHeight="true" outlineLevel="0" collapsed="false">
      <c r="A185" s="32" t="str">
        <f aca="false">IF($B185&lt;&gt;"",ROW()-5,"")</f>
        <v/>
      </c>
      <c r="B185" s="42"/>
      <c r="C185" s="42"/>
      <c r="D185" s="43"/>
      <c r="E185" s="42"/>
      <c r="F185" s="44"/>
      <c r="G185" s="45"/>
      <c r="H185" s="46"/>
    </row>
    <row r="186" customFormat="false" ht="18" hidden="false" customHeight="true" outlineLevel="0" collapsed="false">
      <c r="A186" s="32" t="str">
        <f aca="false">IF($B186&lt;&gt;"",ROW()-5,"")</f>
        <v/>
      </c>
      <c r="B186" s="42"/>
      <c r="C186" s="42"/>
      <c r="D186" s="43"/>
      <c r="E186" s="42"/>
      <c r="F186" s="44"/>
      <c r="G186" s="45"/>
      <c r="H186" s="46"/>
    </row>
    <row r="187" customFormat="false" ht="18" hidden="false" customHeight="true" outlineLevel="0" collapsed="false">
      <c r="A187" s="32" t="str">
        <f aca="false">IF($B187&lt;&gt;"",ROW()-5,"")</f>
        <v/>
      </c>
      <c r="B187" s="42"/>
      <c r="C187" s="42"/>
      <c r="D187" s="43"/>
      <c r="E187" s="42"/>
      <c r="F187" s="44"/>
      <c r="G187" s="45"/>
      <c r="H187" s="46"/>
    </row>
    <row r="188" customFormat="false" ht="18" hidden="false" customHeight="true" outlineLevel="0" collapsed="false">
      <c r="A188" s="32" t="str">
        <f aca="false">IF($B188&lt;&gt;"",ROW()-5,"")</f>
        <v/>
      </c>
      <c r="B188" s="42"/>
      <c r="C188" s="42"/>
      <c r="D188" s="43"/>
      <c r="E188" s="42"/>
      <c r="F188" s="44"/>
      <c r="G188" s="45"/>
      <c r="H188" s="46"/>
    </row>
    <row r="189" customFormat="false" ht="18" hidden="false" customHeight="true" outlineLevel="0" collapsed="false">
      <c r="A189" s="32" t="str">
        <f aca="false">IF($B189&lt;&gt;"",ROW()-5,"")</f>
        <v/>
      </c>
      <c r="B189" s="42"/>
      <c r="C189" s="42"/>
      <c r="D189" s="43"/>
      <c r="E189" s="42"/>
      <c r="F189" s="44"/>
      <c r="G189" s="45"/>
      <c r="H189" s="46"/>
    </row>
    <row r="190" customFormat="false" ht="18" hidden="false" customHeight="true" outlineLevel="0" collapsed="false">
      <c r="A190" s="32" t="str">
        <f aca="false">IF($B190&lt;&gt;"",ROW()-5,"")</f>
        <v/>
      </c>
      <c r="B190" s="42"/>
      <c r="C190" s="42"/>
      <c r="D190" s="43"/>
      <c r="E190" s="42"/>
      <c r="F190" s="44"/>
      <c r="G190" s="45"/>
      <c r="H190" s="46"/>
    </row>
    <row r="191" customFormat="false" ht="18" hidden="false" customHeight="true" outlineLevel="0" collapsed="false">
      <c r="A191" s="32" t="str">
        <f aca="false">IF($B191&lt;&gt;"",ROW()-5,"")</f>
        <v/>
      </c>
      <c r="B191" s="42"/>
      <c r="C191" s="42"/>
      <c r="D191" s="43"/>
      <c r="E191" s="42"/>
      <c r="F191" s="44"/>
      <c r="G191" s="45"/>
      <c r="H191" s="46"/>
    </row>
    <row r="192" customFormat="false" ht="18" hidden="false" customHeight="true" outlineLevel="0" collapsed="false">
      <c r="A192" s="32" t="str">
        <f aca="false">IF($B192&lt;&gt;"",ROW()-5,"")</f>
        <v/>
      </c>
      <c r="B192" s="42"/>
      <c r="C192" s="42"/>
      <c r="D192" s="43"/>
      <c r="E192" s="42"/>
      <c r="F192" s="44"/>
      <c r="G192" s="45"/>
      <c r="H192" s="46"/>
    </row>
    <row r="193" customFormat="false" ht="18" hidden="false" customHeight="true" outlineLevel="0" collapsed="false">
      <c r="A193" s="32" t="str">
        <f aca="false">IF($B193&lt;&gt;"",ROW()-5,"")</f>
        <v/>
      </c>
      <c r="B193" s="42"/>
      <c r="C193" s="42"/>
      <c r="D193" s="43"/>
      <c r="E193" s="42"/>
      <c r="F193" s="44"/>
      <c r="G193" s="45"/>
      <c r="H193" s="46"/>
    </row>
    <row r="194" customFormat="false" ht="18" hidden="false" customHeight="true" outlineLevel="0" collapsed="false">
      <c r="A194" s="32" t="str">
        <f aca="false">IF($B194&lt;&gt;"",ROW()-5,"")</f>
        <v/>
      </c>
      <c r="B194" s="42"/>
      <c r="C194" s="42"/>
      <c r="D194" s="43"/>
      <c r="E194" s="42"/>
      <c r="F194" s="44"/>
      <c r="G194" s="45"/>
      <c r="H194" s="46"/>
    </row>
    <row r="195" customFormat="false" ht="18" hidden="false" customHeight="true" outlineLevel="0" collapsed="false">
      <c r="A195" s="32" t="str">
        <f aca="false">IF($B195&lt;&gt;"",ROW()-5,"")</f>
        <v/>
      </c>
      <c r="B195" s="42"/>
      <c r="C195" s="42"/>
      <c r="D195" s="43"/>
      <c r="E195" s="42"/>
      <c r="F195" s="44"/>
      <c r="G195" s="45"/>
      <c r="H195" s="46"/>
    </row>
    <row r="196" customFormat="false" ht="18" hidden="false" customHeight="true" outlineLevel="0" collapsed="false">
      <c r="A196" s="32" t="str">
        <f aca="false">IF($B196&lt;&gt;"",ROW()-5,"")</f>
        <v/>
      </c>
      <c r="B196" s="42"/>
      <c r="C196" s="42"/>
      <c r="D196" s="43"/>
      <c r="E196" s="42"/>
      <c r="F196" s="44"/>
      <c r="G196" s="45"/>
      <c r="H196" s="46"/>
    </row>
    <row r="197" customFormat="false" ht="18" hidden="false" customHeight="true" outlineLevel="0" collapsed="false">
      <c r="A197" s="32" t="str">
        <f aca="false">IF($B197&lt;&gt;"",ROW()-5,"")</f>
        <v/>
      </c>
      <c r="B197" s="42"/>
      <c r="C197" s="42"/>
      <c r="D197" s="43"/>
      <c r="E197" s="42"/>
      <c r="F197" s="44"/>
      <c r="G197" s="45"/>
      <c r="H197" s="46"/>
    </row>
    <row r="198" customFormat="false" ht="18" hidden="false" customHeight="true" outlineLevel="0" collapsed="false">
      <c r="A198" s="32" t="str">
        <f aca="false">IF($B198&lt;&gt;"",ROW()-5,"")</f>
        <v/>
      </c>
      <c r="B198" s="42"/>
      <c r="C198" s="42"/>
      <c r="D198" s="43"/>
      <c r="E198" s="42"/>
      <c r="F198" s="44"/>
      <c r="G198" s="45"/>
      <c r="H198" s="46"/>
    </row>
    <row r="199" customFormat="false" ht="18" hidden="false" customHeight="true" outlineLevel="0" collapsed="false">
      <c r="A199" s="32" t="str">
        <f aca="false">IF($B199&lt;&gt;"",ROW()-5,"")</f>
        <v/>
      </c>
      <c r="B199" s="42"/>
      <c r="C199" s="42"/>
      <c r="D199" s="43"/>
      <c r="E199" s="42"/>
      <c r="F199" s="44"/>
      <c r="G199" s="45"/>
      <c r="H199" s="46"/>
    </row>
    <row r="200" customFormat="false" ht="18" hidden="false" customHeight="true" outlineLevel="0" collapsed="false">
      <c r="A200" s="32" t="str">
        <f aca="false">IF($B200&lt;&gt;"",ROW()-5,"")</f>
        <v/>
      </c>
      <c r="B200" s="42"/>
      <c r="C200" s="42"/>
      <c r="D200" s="43"/>
      <c r="E200" s="42"/>
      <c r="F200" s="44"/>
      <c r="G200" s="45"/>
      <c r="H200" s="46"/>
    </row>
    <row r="201" customFormat="false" ht="18" hidden="false" customHeight="true" outlineLevel="0" collapsed="false">
      <c r="A201" s="32" t="str">
        <f aca="false">IF($B201&lt;&gt;"",ROW()-5,"")</f>
        <v/>
      </c>
      <c r="B201" s="42"/>
      <c r="C201" s="42"/>
      <c r="D201" s="43"/>
      <c r="E201" s="42"/>
      <c r="F201" s="44"/>
      <c r="G201" s="45"/>
      <c r="H201" s="46"/>
    </row>
    <row r="202" customFormat="false" ht="18" hidden="false" customHeight="true" outlineLevel="0" collapsed="false">
      <c r="A202" s="32" t="str">
        <f aca="false">IF($B202&lt;&gt;"",ROW()-5,"")</f>
        <v/>
      </c>
      <c r="B202" s="42"/>
      <c r="C202" s="42"/>
      <c r="D202" s="43"/>
      <c r="E202" s="42"/>
      <c r="F202" s="44"/>
      <c r="G202" s="45"/>
      <c r="H202" s="46"/>
    </row>
    <row r="203" customFormat="false" ht="18" hidden="false" customHeight="true" outlineLevel="0" collapsed="false">
      <c r="A203" s="32" t="str">
        <f aca="false">IF($B203&lt;&gt;"",ROW()-5,"")</f>
        <v/>
      </c>
      <c r="B203" s="42"/>
      <c r="C203" s="42"/>
      <c r="D203" s="43"/>
      <c r="E203" s="42"/>
      <c r="F203" s="44"/>
      <c r="G203" s="45"/>
      <c r="H203" s="46"/>
    </row>
    <row r="204" customFormat="false" ht="18" hidden="false" customHeight="true" outlineLevel="0" collapsed="false">
      <c r="A204" s="32" t="str">
        <f aca="false">IF($B204&lt;&gt;"",ROW()-5,"")</f>
        <v/>
      </c>
      <c r="B204" s="42"/>
      <c r="C204" s="42"/>
      <c r="D204" s="43"/>
      <c r="E204" s="42"/>
      <c r="F204" s="44"/>
      <c r="G204" s="45"/>
      <c r="H204" s="46"/>
    </row>
    <row r="205" customFormat="false" ht="18" hidden="false" customHeight="true" outlineLevel="0" collapsed="false">
      <c r="A205" s="32" t="str">
        <f aca="false">IF($B205&lt;&gt;"",ROW()-5,"")</f>
        <v/>
      </c>
      <c r="B205" s="42"/>
      <c r="C205" s="42"/>
      <c r="D205" s="43"/>
      <c r="E205" s="42"/>
      <c r="F205" s="44"/>
      <c r="G205" s="45"/>
      <c r="H205" s="46"/>
    </row>
  </sheetData>
  <autoFilter ref="A5:H205"/>
  <mergeCells count="3">
    <mergeCell ref="A1:H1"/>
    <mergeCell ref="A2:H2"/>
    <mergeCell ref="A3:H3"/>
  </mergeCells>
  <conditionalFormatting sqref="F6:F205">
    <cfRule type="dataBar" priority="2">
      <dataBar showValue="1" minLength="10" maxLength="90">
        <cfvo type="num" val="0"/>
        <cfvo type="max" val="0"/>
        <color rgb="FF63BE7B"/>
      </dataBar>
      <extLst>
        <ext xmlns:x14="http://schemas.microsoft.com/office/spreadsheetml/2009/9/main" uri="{B025F937-C7B1-47D3-B67F-A62EFF666E3E}">
          <x14:id>{50736076-3345-421B-8E95-1891C57D5B77}</x14:id>
        </ext>
      </extLst>
    </cfRule>
  </conditionalFormatting>
  <conditionalFormatting sqref="H6:H205">
    <cfRule type="dataBar" priority="3">
      <dataBar showValue="1" minLength="10" maxLength="90">
        <cfvo type="num" val="0"/>
        <cfvo type="max" val="0"/>
        <color rgb="FF8EA9DB"/>
      </dataBar>
      <extLst>
        <ext xmlns:x14="http://schemas.microsoft.com/office/spreadsheetml/2009/9/main" uri="{B025F937-C7B1-47D3-B67F-A62EFF666E3E}">
          <x14:id>{1AF7E035-6AC5-46C2-8DFF-E2BD37984F65}</x14:id>
        </ext>
      </extLst>
    </cfRule>
  </conditionalFormatting>
  <dataValidations count="3">
    <dataValidation allowBlank="true" error="Pilih salah satu channel dari daftar dropdown." errorStyle="stop" errorTitle="Channel tidak dikenal" operator="between" prompt="Pilih channel dari dropdown." promptTitle="Dihubungi lewat apa?" showDropDown="false" showErrorMessage="false" showInputMessage="false" sqref="E6:E205" type="list">
      <formula1>Referensi!$A$4:$A$11</formula1>
      <formula2>0</formula2>
    </dataValidation>
    <dataValidation allowBlank="true" error="GMV Histori harus berupa angka dan tidak boleh negatif." errorStyle="stop" errorTitle="Nilai tidak valid" operator="greaterThanOrEqual" showDropDown="false" showErrorMessage="false" showInputMessage="false" sqref="F6:F205" type="decimal">
      <formula1>0</formula1>
      <formula2>0</formula2>
    </dataValidation>
    <dataValidation allowBlank="true" error="Jumlah followers harus berupa angka bulat dan tidak boleh negatif." errorStyle="stop" errorTitle="Nilai tidak valid" operator="greaterThanOrEqual" showDropDown="false" showErrorMessage="false" showInputMessage="false" sqref="H6:H205" type="whole">
      <formula1>0</formula1>
      <formula2>0</formula2>
    </dataValidation>
  </dataValidations>
  <printOptions headings="false" gridLines="false" gridLinesSet="true" horizontalCentered="false" verticalCentered="false"/>
  <pageMargins left="0.4" right="0.4" top="1" bottom="1" header="0.511811023622047" footer="0.5"/>
  <pageSetup paperSize="1" scale="100" fitToWidth="1" fitToHeight="0" pageOrder="downThenOver" orientation="landscape" blackAndWhite="false" draft="false" cellComments="none" horizontalDpi="300" verticalDpi="300" copies="1"/>
  <headerFooter differentFirst="false" differentOddEven="false">
    <oddHeader/>
    <oddFooter>&amp;C&amp;8 Database Affiliate - halaman &amp;P dari &amp;N</oddFooter>
  </headerFooter>
  <drawing r:id="rId2"/>
  <legacyDrawing r:id="rId3"/>
  <extLst>
    <ext xmlns:x14="http://schemas.microsoft.com/office/spreadsheetml/2009/9/main" uri="{78C0D931-6437-407d-A8EE-F0AAD7539E65}">
      <x14:conditionalFormattings>
        <x14:conditionalFormatting xmlns:xm="http://schemas.microsoft.com/office/excel/2006/main">
          <x14:cfRule type="dataBar" id="{50736076-3345-421B-8E95-1891C57D5B77}">
            <x14:dataBar minLength="10" maxLength="90" axisPosition="none" gradient="true">
              <x14:cfvo type="num">
                <xm:f>0</xm:f>
              </x14:cfvo>
              <x14:cfvo type="max"/>
              <x14:negativeFillColor rgb="FF63BE7B"/>
              <x14:axisColor rgb="FF000000"/>
            </x14:dataBar>
          </x14:cfRule>
          <xm:sqref>F6:F205</xm:sqref>
        </x14:conditionalFormatting>
        <x14:conditionalFormatting xmlns:xm="http://schemas.microsoft.com/office/excel/2006/main">
          <x14:cfRule type="dataBar" id="{1AF7E035-6AC5-46C2-8DFF-E2BD37984F65}">
            <x14:dataBar minLength="10" maxLength="90" axisPosition="none" gradient="true">
              <x14:cfvo type="num">
                <xm:f>0</xm:f>
              </x14:cfvo>
              <x14:cfvo type="max"/>
              <x14:negativeFillColor rgb="FF8EA9DB"/>
              <x14:axisColor rgb="FF000000"/>
            </x14:dataBar>
          </x14:cfRule>
          <xm:sqref>H6:H205</xm:sqref>
        </x14:conditionalFormatting>
      </x14:conditionalFormatting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7F7F7F"/>
    <pageSetUpPr fitToPage="true"/>
  </sheetPr>
  <dimension ref="A1:F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390625" defaultRowHeight="15" zeroHeight="false" outlineLevelRow="0" outlineLevelCol="0"/>
  <cols>
    <col collapsed="false" customWidth="true" hidden="false" outlineLevel="0" max="1" min="1" style="0" width="22"/>
    <col collapsed="false" customWidth="true" hidden="false" outlineLevel="0" max="2" min="2" style="0" width="4"/>
    <col collapsed="false" customWidth="true" hidden="false" outlineLevel="0" max="3" min="3" style="0" width="16"/>
    <col collapsed="false" customWidth="true" hidden="false" outlineLevel="0" max="4" min="4" style="0" width="26"/>
    <col collapsed="false" customWidth="true" hidden="false" outlineLevel="0" max="6" min="5" style="0" width="16"/>
  </cols>
  <sheetData>
    <row r="1" customFormat="false" ht="27.75" hidden="false" customHeight="true" outlineLevel="0" collapsed="false">
      <c r="A1" s="1" t="s">
        <v>67</v>
      </c>
      <c r="B1" s="1"/>
      <c r="C1" s="1"/>
      <c r="D1" s="1"/>
      <c r="E1" s="1"/>
      <c r="F1" s="1"/>
    </row>
    <row r="3" customFormat="false" ht="19.5" hidden="false" customHeight="true" outlineLevel="0" collapsed="false">
      <c r="A3" s="47" t="s">
        <v>68</v>
      </c>
      <c r="C3" s="3" t="s">
        <v>69</v>
      </c>
      <c r="D3" s="3"/>
      <c r="E3" s="3"/>
      <c r="F3" s="3"/>
    </row>
    <row r="4" customFormat="false" ht="30" hidden="false" customHeight="true" outlineLevel="0" collapsed="false">
      <c r="A4" s="48" t="s">
        <v>70</v>
      </c>
      <c r="C4" s="4" t="s">
        <v>34</v>
      </c>
      <c r="D4" s="4" t="s">
        <v>71</v>
      </c>
      <c r="E4" s="4" t="s">
        <v>72</v>
      </c>
      <c r="F4" s="4" t="s">
        <v>73</v>
      </c>
    </row>
    <row r="5" customFormat="false" ht="15" hidden="false" customHeight="false" outlineLevel="0" collapsed="false">
      <c r="A5" s="48" t="s">
        <v>65</v>
      </c>
      <c r="C5" s="49" t="s">
        <v>74</v>
      </c>
      <c r="D5" s="50" t="s">
        <v>75</v>
      </c>
      <c r="E5" s="51" t="n">
        <v>0</v>
      </c>
      <c r="F5" s="51" t="n">
        <v>9999</v>
      </c>
    </row>
    <row r="6" customFormat="false" ht="15" hidden="false" customHeight="false" outlineLevel="0" collapsed="false">
      <c r="A6" s="48" t="s">
        <v>76</v>
      </c>
      <c r="C6" s="49" t="s">
        <v>77</v>
      </c>
      <c r="D6" s="50" t="s">
        <v>78</v>
      </c>
      <c r="E6" s="51" t="n">
        <v>10000</v>
      </c>
      <c r="F6" s="51" t="n">
        <v>49999</v>
      </c>
    </row>
    <row r="7" customFormat="false" ht="15" hidden="false" customHeight="false" outlineLevel="0" collapsed="false">
      <c r="A7" s="48" t="s">
        <v>79</v>
      </c>
      <c r="C7" s="49" t="s">
        <v>80</v>
      </c>
      <c r="D7" s="50" t="s">
        <v>81</v>
      </c>
      <c r="E7" s="51" t="n">
        <v>50000</v>
      </c>
      <c r="F7" s="51" t="n">
        <v>249999</v>
      </c>
    </row>
    <row r="8" customFormat="false" ht="15" hidden="false" customHeight="false" outlineLevel="0" collapsed="false">
      <c r="A8" s="48" t="s">
        <v>82</v>
      </c>
      <c r="C8" s="49" t="s">
        <v>83</v>
      </c>
      <c r="D8" s="50" t="s">
        <v>84</v>
      </c>
      <c r="E8" s="51" t="n">
        <v>250000</v>
      </c>
      <c r="F8" s="51" t="n">
        <v>999999</v>
      </c>
    </row>
    <row r="9" customFormat="false" ht="15" hidden="false" customHeight="false" outlineLevel="0" collapsed="false">
      <c r="A9" s="48" t="s">
        <v>85</v>
      </c>
      <c r="C9" s="49" t="s">
        <v>86</v>
      </c>
      <c r="D9" s="50" t="s">
        <v>87</v>
      </c>
      <c r="E9" s="51" t="n">
        <v>1000000</v>
      </c>
      <c r="F9" s="51" t="n">
        <v>999999999</v>
      </c>
    </row>
    <row r="10" customFormat="false" ht="15" hidden="false" customHeight="false" outlineLevel="0" collapsed="false">
      <c r="A10" s="48" t="s">
        <v>88</v>
      </c>
    </row>
    <row r="11" customFormat="false" ht="15" hidden="false" customHeight="false" outlineLevel="0" collapsed="false">
      <c r="A11" s="48" t="s">
        <v>89</v>
      </c>
      <c r="C11" s="26" t="s">
        <v>90</v>
      </c>
      <c r="D11" s="26"/>
      <c r="E11" s="26"/>
      <c r="F11" s="26"/>
    </row>
    <row r="13" customFormat="false" ht="15" hidden="false" customHeight="false" outlineLevel="0" collapsed="false">
      <c r="A13" s="26" t="s">
        <v>91</v>
      </c>
      <c r="B13" s="26"/>
      <c r="C13" s="26"/>
      <c r="D13" s="26"/>
      <c r="E13" s="26"/>
      <c r="F13" s="26"/>
    </row>
  </sheetData>
  <mergeCells count="4">
    <mergeCell ref="A1:F1"/>
    <mergeCell ref="C3:F3"/>
    <mergeCell ref="C11:F11"/>
    <mergeCell ref="A13:F13"/>
  </mergeCells>
  <printOptions headings="false" gridLines="false" gridLinesSet="true" horizontalCentered="false" verticalCentered="false"/>
  <pageMargins left="0.75" right="0.75" top="1" bottom="1" header="0.511811023622047" footer="0.511811023622047"/>
  <pageSetup paperSize="1" scale="100" fitToWidth="1" fitToHeight="0" pageOrder="downThenOver" orientation="landscape"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2026-08-20T08:00:31Z</dcterms:created>
  <dc:creator>openpyxl</dc:creator>
  <dc:description/>
  <dc:language>en-US</dc:language>
  <cp:lastModifiedBy/>
  <dcterms:modified xsi:type="dcterms:W3CDTF">2026-08-20T08:00:31Z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