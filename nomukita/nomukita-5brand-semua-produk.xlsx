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amu" sheetId="1" state="visible" r:id="rId1"/>
    <sheet name="Bitenza" sheetId="2" state="visible" r:id="rId2"/>
    <sheet name="PIKULABS" sheetId="3" state="visible" r:id="rId3"/>
    <sheet name="Homelab" sheetId="4" state="visible" r:id="rId4"/>
    <sheet name="Beeru" sheetId="5" state="visible" r:id="rId5"/>
    <sheet name="SEMUA (Gabungan)" sheetId="6" state="visible" r:id="rId6"/>
    <sheet name="MATCHA + Tier" sheetId="7" state="visible" r:id="rId7"/>
    <sheet name="Referensi Tier Matcha" sheetId="8" state="visible" r:id="rId8"/>
    <sheet name="Ringkasan &amp; Catat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FF5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pivotButton="0" quotePrefix="0" xfId="0"/>
    <xf numFmtId="3" fontId="5" fillId="7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Matchamu — Semua Produk (TikTok Shop ID, 30 hari terakhir)</t>
        </is>
      </c>
    </row>
    <row r="2">
      <c r="A2" s="2" t="inlineStr">
        <is>
          <t>Total SKU: 75 | Sumber: Kalodata | Diambil 20 Jul 2026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Matchamu</t>
        </is>
      </c>
      <c r="C5" s="5" t="inlineStr">
        <is>
          <t>Matchamu Kana Ceremonial Matcha Powder 500gr</t>
        </is>
      </c>
      <c r="D5" s="6" t="inlineStr">
        <is>
          <t>1735899549646751344</t>
        </is>
      </c>
      <c r="E5" s="4" t="n">
        <v>500</v>
      </c>
      <c r="F5" s="5" t="inlineStr">
        <is>
          <t>Tidak tertera</t>
        </is>
      </c>
      <c r="G5" s="7" t="n">
        <v>1421165</v>
      </c>
      <c r="H5" s="7">
        <f>IF(OR($E5="—",$G5="—"),"—",ROUND($G5/$E5,0))</f>
        <v/>
      </c>
      <c r="I5" s="8" t="n">
        <v>203226617</v>
      </c>
      <c r="J5" s="7" t="n">
        <v>143</v>
      </c>
      <c r="K5" s="5" t="inlineStr">
        <is>
          <t>Matcha</t>
        </is>
      </c>
      <c r="L5" s="5" t="inlineStr">
        <is>
          <t>Ceremonial</t>
        </is>
      </c>
      <c r="M5" s="9" t="n">
        <v>1</v>
      </c>
    </row>
    <row r="6">
      <c r="A6" s="4" t="n">
        <v>2</v>
      </c>
      <c r="B6" s="5" t="inlineStr">
        <is>
          <t>Matchamu</t>
        </is>
      </c>
      <c r="C6" s="5" t="inlineStr">
        <is>
          <t>Matchamu Matcha Powder Kana Ceremonial Grade Tincan 40gr</t>
        </is>
      </c>
      <c r="D6" s="6" t="inlineStr">
        <is>
          <t>1730510040493033072</t>
        </is>
      </c>
      <c r="E6" s="4" t="n">
        <v>40</v>
      </c>
      <c r="F6" s="5" t="inlineStr">
        <is>
          <t>Tin Can</t>
        </is>
      </c>
      <c r="G6" s="7" t="n">
        <v>217734</v>
      </c>
      <c r="H6" s="7">
        <f>IF(OR($E6="—",$G6="—"),"—",ROUND($G6/$E6,0))</f>
        <v/>
      </c>
      <c r="I6" s="8" t="n">
        <v>47683664</v>
      </c>
      <c r="J6" s="7" t="n">
        <v>219</v>
      </c>
      <c r="K6" s="5" t="inlineStr">
        <is>
          <t>Matcha</t>
        </is>
      </c>
      <c r="L6" s="5" t="inlineStr">
        <is>
          <t>Ceremonial</t>
        </is>
      </c>
      <c r="M6" s="9" t="n">
        <v>1</v>
      </c>
    </row>
    <row r="7">
      <c r="A7" s="4" t="n">
        <v>3</v>
      </c>
      <c r="B7" s="5" t="inlineStr">
        <is>
          <t>Matchamu</t>
        </is>
      </c>
      <c r="C7" s="5" t="inlineStr">
        <is>
          <t>Matchamu Matcha Pure Powder 1kg</t>
        </is>
      </c>
      <c r="D7" s="6" t="inlineStr">
        <is>
          <t>1730966728292664944</t>
        </is>
      </c>
      <c r="E7" s="4" t="n">
        <v>1000</v>
      </c>
      <c r="F7" s="5" t="inlineStr">
        <is>
          <t>Tidak tertera</t>
        </is>
      </c>
      <c r="G7" s="7" t="n">
        <v>885450</v>
      </c>
      <c r="H7" s="7">
        <f>IF(OR($E7="—",$G7="—"),"—",ROUND($G7/$E7,0))</f>
        <v/>
      </c>
      <c r="I7" s="8" t="n">
        <v>46043403</v>
      </c>
      <c r="J7" s="7" t="n">
        <v>52</v>
      </c>
      <c r="K7" s="5" t="inlineStr">
        <is>
          <t>Matcha</t>
        </is>
      </c>
      <c r="L7" s="5" t="inlineStr">
        <is>
          <t>Grade tidak disebut</t>
        </is>
      </c>
      <c r="M7" s="10" t="n">
        <v>4</v>
      </c>
    </row>
    <row r="8">
      <c r="A8" s="4" t="n">
        <v>4</v>
      </c>
      <c r="B8" s="5" t="inlineStr">
        <is>
          <t>Matchamu</t>
        </is>
      </c>
      <c r="C8" s="5" t="inlineStr">
        <is>
          <t>Matchamu Matcha Powder 100gr</t>
        </is>
      </c>
      <c r="D8" s="6" t="inlineStr">
        <is>
          <t>1729615209575975536</t>
        </is>
      </c>
      <c r="E8" s="4" t="n">
        <v>100</v>
      </c>
      <c r="F8" s="5" t="inlineStr">
        <is>
          <t>Tidak tertera</t>
        </is>
      </c>
      <c r="G8" s="7" t="n">
        <v>85257</v>
      </c>
      <c r="H8" s="7">
        <f>IF(OR($E8="—",$G8="—"),"—",ROUND($G8/$E8,0))</f>
        <v/>
      </c>
      <c r="I8" s="8" t="n">
        <v>44077877</v>
      </c>
      <c r="J8" s="7" t="n">
        <v>517</v>
      </c>
      <c r="K8" s="5" t="inlineStr">
        <is>
          <t>Matcha</t>
        </is>
      </c>
      <c r="L8" s="5" t="inlineStr">
        <is>
          <t>Grade tidak disebut</t>
        </is>
      </c>
      <c r="M8" s="10" t="n">
        <v>4</v>
      </c>
    </row>
    <row r="9">
      <c r="A9" s="4" t="n">
        <v>5</v>
      </c>
      <c r="B9" s="5" t="inlineStr">
        <is>
          <t>Matchamu</t>
        </is>
      </c>
      <c r="C9" s="5" t="inlineStr">
        <is>
          <t>Matchamu Matcha Pure Powder 50gr</t>
        </is>
      </c>
      <c r="D9" s="6" t="inlineStr">
        <is>
          <t>1730348034724759152</t>
        </is>
      </c>
      <c r="E9" s="4" t="n">
        <v>50</v>
      </c>
      <c r="F9" s="5" t="inlineStr">
        <is>
          <t>Tidak tertera</t>
        </is>
      </c>
      <c r="G9" s="7" t="n">
        <v>19181</v>
      </c>
      <c r="H9" s="7">
        <f>IF(OR($E9="—",$G9="—"),"—",ROUND($G9/$E9,0))</f>
        <v/>
      </c>
      <c r="I9" s="8" t="n">
        <v>13445844</v>
      </c>
      <c r="J9" s="7" t="n">
        <v>701</v>
      </c>
      <c r="K9" s="5" t="inlineStr">
        <is>
          <t>Matcha</t>
        </is>
      </c>
      <c r="L9" s="5" t="inlineStr">
        <is>
          <t>Grade tidak disebut</t>
        </is>
      </c>
      <c r="M9" s="10" t="n">
        <v>4</v>
      </c>
    </row>
    <row r="10">
      <c r="A10" s="4" t="n">
        <v>6</v>
      </c>
      <c r="B10" s="5" t="inlineStr">
        <is>
          <t>Matchamu</t>
        </is>
      </c>
      <c r="C10" s="5" t="inlineStr">
        <is>
          <t>Matchamu Matcha First Harvest Series</t>
        </is>
      </c>
      <c r="D10" s="6" t="inlineStr">
        <is>
          <t>1734411130373834352</t>
        </is>
      </c>
      <c r="E10" s="4" t="inlineStr">
        <is>
          <t>—</t>
        </is>
      </c>
      <c r="F10" s="5" t="inlineStr">
        <is>
          <t>Tidak tertera</t>
        </is>
      </c>
      <c r="G10" s="7" t="n">
        <v>57783</v>
      </c>
      <c r="H10" s="7">
        <f>IF(OR($E10="—",$G10="—"),"—",ROUND($G10/$E10,0))</f>
        <v/>
      </c>
      <c r="I10" s="8" t="n">
        <v>13058950</v>
      </c>
      <c r="J10" s="7" t="n">
        <v>226</v>
      </c>
      <c r="K10" s="5" t="inlineStr">
        <is>
          <t>Matcha</t>
        </is>
      </c>
      <c r="L10" s="5" t="inlineStr">
        <is>
          <t>First Harvest (premium)</t>
        </is>
      </c>
      <c r="M10" s="9" t="n">
        <v>1</v>
      </c>
    </row>
    <row r="11">
      <c r="A11" s="4" t="n">
        <v>7</v>
      </c>
      <c r="B11" s="5" t="inlineStr">
        <is>
          <t>Matchamu</t>
        </is>
      </c>
      <c r="C11" s="5" t="inlineStr">
        <is>
          <t>Matchamu Matcha Powder Komorebi</t>
        </is>
      </c>
      <c r="D11" s="6" t="inlineStr">
        <is>
          <t>1729782239773623920</t>
        </is>
      </c>
      <c r="E11" s="4" t="inlineStr">
        <is>
          <t>—</t>
        </is>
      </c>
      <c r="F11" s="5" t="inlineStr">
        <is>
          <t>Tidak tertera</t>
        </is>
      </c>
      <c r="G11" s="7" t="n">
        <v>29055</v>
      </c>
      <c r="H11" s="7">
        <f>IF(OR($E11="—",$G11="—"),"—",ROUND($G11/$E11,0))</f>
        <v/>
      </c>
      <c r="I11" s="8" t="n">
        <v>12551606</v>
      </c>
      <c r="J11" s="7" t="n">
        <v>432</v>
      </c>
      <c r="K11" s="5" t="inlineStr">
        <is>
          <t>Matcha</t>
        </is>
      </c>
      <c r="L11" s="5" t="inlineStr">
        <is>
          <t>Grade tidak disebut</t>
        </is>
      </c>
      <c r="M11" s="10" t="n">
        <v>4</v>
      </c>
    </row>
    <row r="12">
      <c r="A12" s="4" t="n">
        <v>8</v>
      </c>
      <c r="B12" s="5" t="inlineStr">
        <is>
          <t>Matchamu</t>
        </is>
      </c>
      <c r="C12" s="5" t="inlineStr">
        <is>
          <t>Matchamu Matcha Pure Powder 500gr</t>
        </is>
      </c>
      <c r="D12" s="6" t="inlineStr">
        <is>
          <t>1730966734920648304</t>
        </is>
      </c>
      <c r="E12" s="4" t="n">
        <v>500</v>
      </c>
      <c r="F12" s="5" t="inlineStr">
        <is>
          <t>Tidak tertera</t>
        </is>
      </c>
      <c r="G12" s="7" t="n">
        <v>437493</v>
      </c>
      <c r="H12" s="7">
        <f>IF(OR($E12="—",$G12="—"),"—",ROUND($G12/$E12,0))</f>
        <v/>
      </c>
      <c r="I12" s="8" t="n">
        <v>11374810</v>
      </c>
      <c r="J12" s="7" t="n">
        <v>26</v>
      </c>
      <c r="K12" s="5" t="inlineStr">
        <is>
          <t>Matcha</t>
        </is>
      </c>
      <c r="L12" s="5" t="inlineStr">
        <is>
          <t>Grade tidak disebut</t>
        </is>
      </c>
      <c r="M12" s="10" t="n">
        <v>4</v>
      </c>
    </row>
    <row r="13">
      <c r="A13" s="4" t="n">
        <v>9</v>
      </c>
      <c r="B13" s="5" t="inlineStr">
        <is>
          <t>Matchamu</t>
        </is>
      </c>
      <c r="C13" s="5" t="inlineStr">
        <is>
          <t>Matchamu Matcha Powder 250gr</t>
        </is>
      </c>
      <c r="D13" s="6" t="inlineStr">
        <is>
          <t>1730966727332365936</t>
        </is>
      </c>
      <c r="E13" s="4" t="n">
        <v>250</v>
      </c>
      <c r="F13" s="5" t="inlineStr">
        <is>
          <t>Tidak tertera</t>
        </is>
      </c>
      <c r="G13" s="7" t="n">
        <v>218272</v>
      </c>
      <c r="H13" s="7">
        <f>IF(OR($E13="—",$G13="—"),"—",ROUND($G13/$E13,0))</f>
        <v/>
      </c>
      <c r="I13" s="8" t="n">
        <v>11350164</v>
      </c>
      <c r="J13" s="7" t="n">
        <v>52</v>
      </c>
      <c r="K13" s="5" t="inlineStr">
        <is>
          <t>Matcha</t>
        </is>
      </c>
      <c r="L13" s="5" t="inlineStr">
        <is>
          <t>Grade tidak disebut</t>
        </is>
      </c>
      <c r="M13" s="10" t="n">
        <v>4</v>
      </c>
    </row>
    <row r="14">
      <c r="A14" s="4" t="n">
        <v>10</v>
      </c>
      <c r="B14" s="5" t="inlineStr">
        <is>
          <t>Matchamu</t>
        </is>
      </c>
      <c r="C14" s="5" t="inlineStr">
        <is>
          <t>Matchamu Komorebi Matcha Powder 500gr</t>
        </is>
      </c>
      <c r="D14" s="6" t="inlineStr">
        <is>
          <t>1735899608324408944</t>
        </is>
      </c>
      <c r="E14" s="4" t="n">
        <v>500</v>
      </c>
      <c r="F14" s="5" t="inlineStr">
        <is>
          <t>Tidak tertera</t>
        </is>
      </c>
      <c r="G14" s="7" t="n">
        <v>690604</v>
      </c>
      <c r="H14" s="7">
        <f>IF(OR($E14="—",$G14="—"),"—",ROUND($G14/$E14,0))</f>
        <v/>
      </c>
      <c r="I14" s="8" t="n">
        <v>11049666</v>
      </c>
      <c r="J14" s="7" t="n">
        <v>16</v>
      </c>
      <c r="K14" s="5" t="inlineStr">
        <is>
          <t>Matcha</t>
        </is>
      </c>
      <c r="L14" s="5" t="inlineStr">
        <is>
          <t>Grade tidak disebut</t>
        </is>
      </c>
      <c r="M14" s="10" t="n">
        <v>4</v>
      </c>
    </row>
    <row r="15">
      <c r="A15" s="4" t="n">
        <v>11</v>
      </c>
      <c r="B15" s="5" t="inlineStr">
        <is>
          <t>Matchamu</t>
        </is>
      </c>
      <c r="C15" s="5" t="inlineStr">
        <is>
          <t>Matchamu Matcha Kana Ceremonia Powder</t>
        </is>
      </c>
      <c r="D15" s="6" t="inlineStr">
        <is>
          <t>1729782262463891056</t>
        </is>
      </c>
      <c r="E15" s="4" t="inlineStr">
        <is>
          <t>—</t>
        </is>
      </c>
      <c r="F15" s="5" t="inlineStr">
        <is>
          <t>Tidak tertera</t>
        </is>
      </c>
      <c r="G15" s="7" t="n">
        <v>75408</v>
      </c>
      <c r="H15" s="7">
        <f>IF(OR($E15="—",$G15="—"),"—",ROUND($G15/$E15,0))</f>
        <v/>
      </c>
      <c r="I15" s="8" t="n">
        <v>8973541</v>
      </c>
      <c r="J15" s="7" t="n">
        <v>119</v>
      </c>
      <c r="K15" s="5" t="inlineStr">
        <is>
          <t>Matcha</t>
        </is>
      </c>
      <c r="L15" s="5" t="inlineStr">
        <is>
          <t>Grade tidak disebut</t>
        </is>
      </c>
      <c r="M15" s="10" t="n">
        <v>4</v>
      </c>
    </row>
    <row r="16">
      <c r="A16" s="4" t="n">
        <v>12</v>
      </c>
      <c r="B16" s="5" t="inlineStr">
        <is>
          <t>Matchamu</t>
        </is>
      </c>
      <c r="C16" s="5" t="inlineStr">
        <is>
          <t>Matchamu 3 box/ 9 sachet Matcha Latte</t>
        </is>
      </c>
      <c r="D16" s="6" t="inlineStr">
        <is>
          <t>1729429992703494768</t>
        </is>
      </c>
      <c r="E16" s="4" t="inlineStr">
        <is>
          <t>—</t>
        </is>
      </c>
      <c r="F16" s="5" t="inlineStr">
        <is>
          <t>Sachet/Box</t>
        </is>
      </c>
      <c r="G16" s="7" t="n">
        <v>35727</v>
      </c>
      <c r="H16" s="7">
        <f>IF(OR($E16="—",$G16="—"),"—",ROUND($G16/$E16,0))</f>
        <v/>
      </c>
      <c r="I16" s="8" t="n">
        <v>8753121</v>
      </c>
      <c r="J16" s="7" t="n">
        <v>245</v>
      </c>
      <c r="K16" s="5" t="inlineStr">
        <is>
          <t>Matcha</t>
        </is>
      </c>
      <c r="L16" s="5" t="inlineStr">
        <is>
          <t>Culinary/Latte</t>
        </is>
      </c>
      <c r="M16" s="11" t="n">
        <v>3</v>
      </c>
    </row>
    <row r="17">
      <c r="A17" s="4" t="n">
        <v>13</v>
      </c>
      <c r="B17" s="5" t="inlineStr">
        <is>
          <t>Matchamu</t>
        </is>
      </c>
      <c r="C17" s="5" t="inlineStr">
        <is>
          <t>Matchamu Matcha Powder Pouch 50gr</t>
        </is>
      </c>
      <c r="D17" s="6" t="inlineStr">
        <is>
          <t>1729637539237956208</t>
        </is>
      </c>
      <c r="E17" s="4" t="n">
        <v>50</v>
      </c>
      <c r="F17" s="5" t="inlineStr">
        <is>
          <t>Pouch</t>
        </is>
      </c>
      <c r="G17" s="7" t="n">
        <v>38030</v>
      </c>
      <c r="H17" s="7">
        <f>IF(OR($E17="—",$G17="—"),"—",ROUND($G17/$E17,0))</f>
        <v/>
      </c>
      <c r="I17" s="8" t="n">
        <v>8062448</v>
      </c>
      <c r="J17" s="7" t="n">
        <v>212</v>
      </c>
      <c r="K17" s="5" t="inlineStr">
        <is>
          <t>Matcha</t>
        </is>
      </c>
      <c r="L17" s="5" t="inlineStr">
        <is>
          <t>Grade tidak disebut</t>
        </is>
      </c>
      <c r="M17" s="10" t="n">
        <v>4</v>
      </c>
    </row>
    <row r="18">
      <c r="A18" s="4" t="n">
        <v>14</v>
      </c>
      <c r="B18" s="5" t="inlineStr">
        <is>
          <t>Matchamu</t>
        </is>
      </c>
      <c r="C18" s="5" t="inlineStr">
        <is>
          <t>Matchamu Sakura Latte Powder 1kg</t>
        </is>
      </c>
      <c r="D18" s="6" t="inlineStr">
        <is>
          <t>1730966729878832752</t>
        </is>
      </c>
      <c r="E18" s="4" t="n">
        <v>1000</v>
      </c>
      <c r="F18" s="5" t="inlineStr">
        <is>
          <t>Tidak tertera</t>
        </is>
      </c>
      <c r="G18" s="7" t="n">
        <v>136597</v>
      </c>
      <c r="H18" s="7">
        <f>IF(OR($E18="—",$G18="—"),"—",ROUND($G18/$E18,0))</f>
        <v/>
      </c>
      <c r="I18" s="8" t="n">
        <v>7786004</v>
      </c>
      <c r="J18" s="7" t="n">
        <v>57</v>
      </c>
      <c r="K18" s="5" t="inlineStr">
        <is>
          <t>Sakura</t>
        </is>
      </c>
      <c r="L18" s="5" t="inlineStr">
        <is>
          <t>—</t>
        </is>
      </c>
      <c r="M18" s="4" t="inlineStr">
        <is>
          <t>—</t>
        </is>
      </c>
    </row>
    <row r="19">
      <c r="A19" s="4" t="n">
        <v>15</v>
      </c>
      <c r="B19" s="5" t="inlineStr">
        <is>
          <t>Matchamu</t>
        </is>
      </c>
      <c r="C19" s="5" t="inlineStr">
        <is>
          <t>Matchamu Matcha Powder Jar 100gram</t>
        </is>
      </c>
      <c r="D19" s="6" t="inlineStr">
        <is>
          <t>1729420495198325360</t>
        </is>
      </c>
      <c r="E19" s="4" t="n">
        <v>100</v>
      </c>
      <c r="F19" s="5" t="inlineStr">
        <is>
          <t>Jar</t>
        </is>
      </c>
      <c r="G19" s="7" t="n">
        <v>106780</v>
      </c>
      <c r="H19" s="7">
        <f>IF(OR($E19="—",$G19="—"),"—",ROUND($G19/$E19,0))</f>
        <v/>
      </c>
      <c r="I19" s="8" t="n">
        <v>6940698</v>
      </c>
      <c r="J19" s="7" t="n">
        <v>65</v>
      </c>
      <c r="K19" s="5" t="inlineStr">
        <is>
          <t>Matcha</t>
        </is>
      </c>
      <c r="L19" s="5" t="inlineStr">
        <is>
          <t>Grade tidak disebut</t>
        </is>
      </c>
      <c r="M19" s="10" t="n">
        <v>4</v>
      </c>
    </row>
    <row r="20">
      <c r="A20" s="4" t="n">
        <v>16</v>
      </c>
      <c r="B20" s="5" t="inlineStr">
        <is>
          <t>Matchamu</t>
        </is>
      </c>
      <c r="C20" s="5" t="inlineStr">
        <is>
          <t>Matchamu Bubuk Taro Latte 1kg</t>
        </is>
      </c>
      <c r="D20" s="6" t="inlineStr">
        <is>
          <t>1730348027606304368</t>
        </is>
      </c>
      <c r="E20" s="4" t="n">
        <v>1000</v>
      </c>
      <c r="F20" s="5" t="inlineStr">
        <is>
          <t>Tidak tertera</t>
        </is>
      </c>
      <c r="G20" s="7" t="n">
        <v>247859</v>
      </c>
      <c r="H20" s="7">
        <f>IF(OR($E20="—",$G20="—"),"—",ROUND($G20/$E20,0))</f>
        <v/>
      </c>
      <c r="I20" s="8" t="n">
        <v>6940053</v>
      </c>
      <c r="J20" s="7" t="n">
        <v>28</v>
      </c>
      <c r="K20" s="5" t="inlineStr">
        <is>
          <t>Taro</t>
        </is>
      </c>
      <c r="L20" s="5" t="inlineStr">
        <is>
          <t>—</t>
        </is>
      </c>
      <c r="M20" s="4" t="inlineStr">
        <is>
          <t>—</t>
        </is>
      </c>
    </row>
    <row r="21">
      <c r="A21" s="4" t="n">
        <v>17</v>
      </c>
      <c r="B21" s="5" t="inlineStr">
        <is>
          <t>Matchamu</t>
        </is>
      </c>
      <c r="C21" s="5" t="inlineStr">
        <is>
          <t>Matchamu Matcha Latte (1 box isi 20 sachet) - Minuman Bubuk Premium Matcha Latte Asli Jepang - Organik</t>
        </is>
      </c>
      <c r="D21" s="6" t="inlineStr">
        <is>
          <t>1729420327675464304</t>
        </is>
      </c>
      <c r="E21" s="4" t="inlineStr">
        <is>
          <t>—</t>
        </is>
      </c>
      <c r="F21" s="5" t="inlineStr">
        <is>
          <t>Sachet/Box</t>
        </is>
      </c>
      <c r="G21" s="7" t="n">
        <v>32776</v>
      </c>
      <c r="H21" s="7">
        <f>IF(OR($E21="—",$G21="—"),"—",ROUND($G21/$E21,0))</f>
        <v/>
      </c>
      <c r="I21" s="8" t="n">
        <v>6915784</v>
      </c>
      <c r="J21" s="7" t="n">
        <v>211</v>
      </c>
      <c r="K21" s="5" t="inlineStr">
        <is>
          <t>Matcha</t>
        </is>
      </c>
      <c r="L21" s="5" t="inlineStr">
        <is>
          <t>Premium</t>
        </is>
      </c>
      <c r="M21" s="12" t="n">
        <v>2</v>
      </c>
    </row>
    <row r="22">
      <c r="A22" s="4" t="n">
        <v>18</v>
      </c>
      <c r="B22" s="5" t="inlineStr">
        <is>
          <t>Matchamu</t>
        </is>
      </c>
      <c r="C22" s="5" t="inlineStr">
        <is>
          <t>Matchamu Kyogetsu Ceremonial Matcha Powder</t>
        </is>
      </c>
      <c r="D22" s="6" t="inlineStr">
        <is>
          <t>1733205680125019760</t>
        </is>
      </c>
      <c r="E22" s="4" t="inlineStr">
        <is>
          <t>—</t>
        </is>
      </c>
      <c r="F22" s="5" t="inlineStr">
        <is>
          <t>Tidak tertera</t>
        </is>
      </c>
      <c r="G22" s="7" t="n">
        <v>65616</v>
      </c>
      <c r="H22" s="7">
        <f>IF(OR($E22="—",$G22="—"),"—",ROUND($G22/$E22,0))</f>
        <v/>
      </c>
      <c r="I22" s="8" t="n">
        <v>6364748</v>
      </c>
      <c r="J22" s="7" t="n">
        <v>97</v>
      </c>
      <c r="K22" s="5" t="inlineStr">
        <is>
          <t>Matcha</t>
        </is>
      </c>
      <c r="L22" s="5" t="inlineStr">
        <is>
          <t>Ceremonial</t>
        </is>
      </c>
      <c r="M22" s="9" t="n">
        <v>1</v>
      </c>
    </row>
    <row r="23">
      <c r="A23" s="4" t="n">
        <v>19</v>
      </c>
      <c r="B23" s="5" t="inlineStr">
        <is>
          <t>Matchamu</t>
        </is>
      </c>
      <c r="C23" s="5" t="inlineStr">
        <is>
          <t>Matchamu Bundle Matcha Powder 50gr 4pcs</t>
        </is>
      </c>
      <c r="D23" s="6" t="inlineStr">
        <is>
          <t>1734979455475615344</t>
        </is>
      </c>
      <c r="E23" s="4" t="n">
        <v>50</v>
      </c>
      <c r="F23" s="5" t="inlineStr">
        <is>
          <t>Tidak tertera</t>
        </is>
      </c>
      <c r="G23" s="7" t="n">
        <v>176142</v>
      </c>
      <c r="H23" s="7">
        <f>IF(OR($E23="—",$G23="—"),"—",ROUND($G23/$E23,0))</f>
        <v/>
      </c>
      <c r="I23" s="8" t="n">
        <v>6164964</v>
      </c>
      <c r="J23" s="7" t="n">
        <v>35</v>
      </c>
      <c r="K23" s="5" t="inlineStr">
        <is>
          <t>Matcha</t>
        </is>
      </c>
      <c r="L23" s="5" t="inlineStr">
        <is>
          <t>Grade tidak disebut</t>
        </is>
      </c>
      <c r="M23" s="10" t="n">
        <v>4</v>
      </c>
    </row>
    <row r="24">
      <c r="A24" s="4" t="n">
        <v>20</v>
      </c>
      <c r="B24" s="5" t="inlineStr">
        <is>
          <t>Matchamu</t>
        </is>
      </c>
      <c r="C24" s="5" t="inlineStr">
        <is>
          <t>Matchamu Matcha Kana Powder 15gr</t>
        </is>
      </c>
      <c r="D24" s="6" t="inlineStr">
        <is>
          <t>1729988591387904624</t>
        </is>
      </c>
      <c r="E24" s="4" t="n">
        <v>15</v>
      </c>
      <c r="F24" s="5" t="inlineStr">
        <is>
          <t>Tidak tertera</t>
        </is>
      </c>
      <c r="G24" s="7" t="n">
        <v>61225</v>
      </c>
      <c r="H24" s="7">
        <f>IF(OR($E24="—",$G24="—"),"—",ROUND($G24/$E24,0))</f>
        <v/>
      </c>
      <c r="I24" s="8" t="n">
        <v>5571488</v>
      </c>
      <c r="J24" s="7" t="n">
        <v>91</v>
      </c>
      <c r="K24" s="5" t="inlineStr">
        <is>
          <t>Matcha</t>
        </is>
      </c>
      <c r="L24" s="5" t="inlineStr">
        <is>
          <t>Grade tidak disebut</t>
        </is>
      </c>
      <c r="M24" s="10" t="n">
        <v>4</v>
      </c>
    </row>
    <row r="25">
      <c r="A25" s="4" t="n">
        <v>21</v>
      </c>
      <c r="B25" s="5" t="inlineStr">
        <is>
          <t>Matchamu</t>
        </is>
      </c>
      <c r="C25" s="5" t="inlineStr">
        <is>
          <t>Matchamu Sakura Latte 500gr</t>
        </is>
      </c>
      <c r="D25" s="6" t="inlineStr">
        <is>
          <t>1730966727418611312</t>
        </is>
      </c>
      <c r="E25" s="4" t="n">
        <v>500</v>
      </c>
      <c r="F25" s="5" t="inlineStr">
        <is>
          <t>Tidak tertera</t>
        </is>
      </c>
      <c r="G25" s="7" t="n">
        <v>81360</v>
      </c>
      <c r="H25" s="7">
        <f>IF(OR($E25="—",$G25="—"),"—",ROUND($G25/$E25,0))</f>
        <v/>
      </c>
      <c r="I25" s="8" t="n">
        <v>5369783</v>
      </c>
      <c r="J25" s="7" t="n">
        <v>66</v>
      </c>
      <c r="K25" s="5" t="inlineStr">
        <is>
          <t>Sakura</t>
        </is>
      </c>
      <c r="L25" s="5" t="inlineStr">
        <is>
          <t>—</t>
        </is>
      </c>
      <c r="M25" s="4" t="inlineStr">
        <is>
          <t>—</t>
        </is>
      </c>
    </row>
    <row r="26">
      <c r="A26" s="4" t="n">
        <v>22</v>
      </c>
      <c r="B26" s="5" t="inlineStr">
        <is>
          <t>Matchamu</t>
        </is>
      </c>
      <c r="C26" s="5" t="inlineStr">
        <is>
          <t>Matchamu Matcha Powder Kamui Champion Grade</t>
        </is>
      </c>
      <c r="D26" s="6" t="inlineStr">
        <is>
          <t>1730509984478955120</t>
        </is>
      </c>
      <c r="E26" s="4" t="inlineStr">
        <is>
          <t>—</t>
        </is>
      </c>
      <c r="F26" s="5" t="inlineStr">
        <is>
          <t>Tidak tertera</t>
        </is>
      </c>
      <c r="G26" s="7" t="n">
        <v>88569</v>
      </c>
      <c r="H26" s="7">
        <f>IF(OR($E26="—",$G26="—"),"—",ROUND($G26/$E26,0))</f>
        <v/>
      </c>
      <c r="I26" s="8" t="n">
        <v>4517032</v>
      </c>
      <c r="J26" s="7" t="n">
        <v>51</v>
      </c>
      <c r="K26" s="5" t="inlineStr">
        <is>
          <t>Matcha</t>
        </is>
      </c>
      <c r="L26" s="5" t="inlineStr">
        <is>
          <t>Champion Grade (premium+)</t>
        </is>
      </c>
      <c r="M26" s="12" t="n">
        <v>2</v>
      </c>
    </row>
    <row r="27">
      <c r="A27" s="4" t="n">
        <v>23</v>
      </c>
      <c r="B27" s="5" t="inlineStr">
        <is>
          <t>Matchamu</t>
        </is>
      </c>
      <c r="C27" s="5" t="inlineStr">
        <is>
          <t>Matchamu Chai Latte 500gr</t>
        </is>
      </c>
      <c r="D27" s="6" t="inlineStr">
        <is>
          <t>1730966728817804912</t>
        </is>
      </c>
      <c r="E27" s="4" t="n">
        <v>500</v>
      </c>
      <c r="F27" s="5" t="inlineStr">
        <is>
          <t>Tidak tertera</t>
        </is>
      </c>
      <c r="G27" s="7" t="n">
        <v>64349</v>
      </c>
      <c r="H27" s="7">
        <f>IF(OR($E27="—",$G27="—"),"—",ROUND($G27/$E27,0))</f>
        <v/>
      </c>
      <c r="I27" s="8" t="n">
        <v>4053984</v>
      </c>
      <c r="J27" s="7" t="n">
        <v>63</v>
      </c>
      <c r="K27" s="5" t="inlineStr">
        <is>
          <t>Chai</t>
        </is>
      </c>
      <c r="L27" s="5" t="inlineStr">
        <is>
          <t>—</t>
        </is>
      </c>
      <c r="M27" s="4" t="inlineStr">
        <is>
          <t>—</t>
        </is>
      </c>
    </row>
    <row r="28">
      <c r="A28" s="4" t="n">
        <v>24</v>
      </c>
      <c r="B28" s="5" t="inlineStr">
        <is>
          <t>Matchamu</t>
        </is>
      </c>
      <c r="C28" s="5" t="inlineStr">
        <is>
          <t>Matchamu Sakura Latte Pouch 250gr</t>
        </is>
      </c>
      <c r="D28" s="6" t="inlineStr">
        <is>
          <t>1729420503132834416</t>
        </is>
      </c>
      <c r="E28" s="4" t="n">
        <v>250</v>
      </c>
      <c r="F28" s="5" t="inlineStr">
        <is>
          <t>Pouch</t>
        </is>
      </c>
      <c r="G28" s="7" t="n">
        <v>40886</v>
      </c>
      <c r="H28" s="7">
        <f>IF(OR($E28="—",$G28="—"),"—",ROUND($G28/$E28,0))</f>
        <v/>
      </c>
      <c r="I28" s="8" t="n">
        <v>3516237</v>
      </c>
      <c r="J28" s="7" t="n">
        <v>86</v>
      </c>
      <c r="K28" s="5" t="inlineStr">
        <is>
          <t>Sakura</t>
        </is>
      </c>
      <c r="L28" s="5" t="inlineStr">
        <is>
          <t>—</t>
        </is>
      </c>
      <c r="M28" s="4" t="inlineStr">
        <is>
          <t>—</t>
        </is>
      </c>
    </row>
    <row r="29">
      <c r="A29" s="4" t="n">
        <v>25</v>
      </c>
      <c r="B29" s="5" t="inlineStr">
        <is>
          <t>Matchamu</t>
        </is>
      </c>
      <c r="C29" s="5" t="inlineStr">
        <is>
          <t>Matchamu Bundling Matcha Kana Ceremonial 100gr + Matcha Komorebi 100gr</t>
        </is>
      </c>
      <c r="D29" s="6" t="inlineStr">
        <is>
          <t>1733826365459039856</t>
        </is>
      </c>
      <c r="E29" s="4" t="n">
        <v>100</v>
      </c>
      <c r="F29" s="5" t="inlineStr">
        <is>
          <t>Tidak tertera</t>
        </is>
      </c>
      <c r="G29" s="7" t="n">
        <v>414641</v>
      </c>
      <c r="H29" s="7">
        <f>IF(OR($E29="—",$G29="—"),"—",ROUND($G29/$E29,0))</f>
        <v/>
      </c>
      <c r="I29" s="8" t="n">
        <v>3317129</v>
      </c>
      <c r="J29" s="7" t="n">
        <v>8</v>
      </c>
      <c r="K29" s="5" t="inlineStr">
        <is>
          <t>Matcha</t>
        </is>
      </c>
      <c r="L29" s="5" t="inlineStr">
        <is>
          <t>Ceremonial</t>
        </is>
      </c>
      <c r="M29" s="9" t="n">
        <v>1</v>
      </c>
    </row>
    <row r="30">
      <c r="A30" s="4" t="n">
        <v>26</v>
      </c>
      <c r="B30" s="5" t="inlineStr">
        <is>
          <t>Matchamu</t>
        </is>
      </c>
      <c r="C30" s="5" t="inlineStr">
        <is>
          <t>Matchamu Matcha Komorebi Powder 100g</t>
        </is>
      </c>
      <c r="D30" s="6" t="inlineStr">
        <is>
          <t>1730348035517548144</t>
        </is>
      </c>
      <c r="E30" s="4" t="n">
        <v>100</v>
      </c>
      <c r="F30" s="5" t="inlineStr">
        <is>
          <t>Tidak tertera</t>
        </is>
      </c>
      <c r="G30" s="7" t="n">
        <v>141765</v>
      </c>
      <c r="H30" s="7">
        <f>IF(OR($E30="—",$G30="—"),"—",ROUND($G30/$E30,0))</f>
        <v/>
      </c>
      <c r="I30" s="8" t="n">
        <v>3260595</v>
      </c>
      <c r="J30" s="7" t="n">
        <v>23</v>
      </c>
      <c r="K30" s="5" t="inlineStr">
        <is>
          <t>Matcha</t>
        </is>
      </c>
      <c r="L30" s="5" t="inlineStr">
        <is>
          <t>Grade tidak disebut</t>
        </is>
      </c>
      <c r="M30" s="10" t="n">
        <v>4</v>
      </c>
    </row>
    <row r="31">
      <c r="A31" s="4" t="n">
        <v>27</v>
      </c>
      <c r="B31" s="5" t="inlineStr">
        <is>
          <t>Matchamu</t>
        </is>
      </c>
      <c r="C31" s="5" t="inlineStr">
        <is>
          <t>Matchamu Matcha Latte Powder 250gr</t>
        </is>
      </c>
      <c r="D31" s="6" t="inlineStr">
        <is>
          <t>1729420501594770032</t>
        </is>
      </c>
      <c r="E31" s="4" t="n">
        <v>250</v>
      </c>
      <c r="F31" s="5" t="inlineStr">
        <is>
          <t>Tidak tertera</t>
        </is>
      </c>
      <c r="G31" s="7" t="n">
        <v>66168</v>
      </c>
      <c r="H31" s="7">
        <f>IF(OR($E31="—",$G31="—"),"—",ROUND($G31/$E31,0))</f>
        <v/>
      </c>
      <c r="I31" s="8" t="n">
        <v>2845226</v>
      </c>
      <c r="J31" s="7" t="n">
        <v>43</v>
      </c>
      <c r="K31" s="5" t="inlineStr">
        <is>
          <t>Matcha</t>
        </is>
      </c>
      <c r="L31" s="5" t="inlineStr">
        <is>
          <t>Culinary/Latte</t>
        </is>
      </c>
      <c r="M31" s="11" t="n">
        <v>3</v>
      </c>
    </row>
    <row r="32">
      <c r="A32" s="4" t="n">
        <v>28</v>
      </c>
      <c r="B32" s="5" t="inlineStr">
        <is>
          <t>Matchamu</t>
        </is>
      </c>
      <c r="C32" s="5" t="inlineStr">
        <is>
          <t>Matchamu Matcha Latte Jar 250gr</t>
        </is>
      </c>
      <c r="D32" s="6" t="inlineStr">
        <is>
          <t>1729420498929355376</t>
        </is>
      </c>
      <c r="E32" s="4" t="n">
        <v>250</v>
      </c>
      <c r="F32" s="5" t="inlineStr">
        <is>
          <t>Jar</t>
        </is>
      </c>
      <c r="G32" s="7" t="n">
        <v>87798</v>
      </c>
      <c r="H32" s="7">
        <f>IF(OR($E32="—",$G32="—"),"—",ROUND($G32/$E32,0))</f>
        <v/>
      </c>
      <c r="I32" s="8" t="n">
        <v>2633942</v>
      </c>
      <c r="J32" s="7" t="n">
        <v>30</v>
      </c>
      <c r="K32" s="5" t="inlineStr">
        <is>
          <t>Matcha</t>
        </is>
      </c>
      <c r="L32" s="5" t="inlineStr">
        <is>
          <t>Culinary/Latte</t>
        </is>
      </c>
      <c r="M32" s="11" t="n">
        <v>3</v>
      </c>
    </row>
    <row r="33">
      <c r="A33" s="4" t="n">
        <v>29</v>
      </c>
      <c r="B33" s="5" t="inlineStr">
        <is>
          <t>Matchamu</t>
        </is>
      </c>
      <c r="C33" s="5" t="inlineStr">
        <is>
          <t>Matchamu Abang Teh Tarik Pouch isi 30 sachet</t>
        </is>
      </c>
      <c r="D33" s="6" t="inlineStr">
        <is>
          <t>1729578130537743984</t>
        </is>
      </c>
      <c r="E33" s="4" t="inlineStr">
        <is>
          <t>—</t>
        </is>
      </c>
      <c r="F33" s="5" t="inlineStr">
        <is>
          <t>Pouch</t>
        </is>
      </c>
      <c r="G33" s="7" t="n">
        <v>69759</v>
      </c>
      <c r="H33" s="7">
        <f>IF(OR($E33="—",$G33="—"),"—",ROUND($G33/$E33,0))</f>
        <v/>
      </c>
      <c r="I33" s="8" t="n">
        <v>2302061</v>
      </c>
      <c r="J33" s="7" t="n">
        <v>33</v>
      </c>
      <c r="K33" s="5" t="inlineStr">
        <is>
          <t>Teh Tarik</t>
        </is>
      </c>
      <c r="L33" s="5" t="inlineStr">
        <is>
          <t>—</t>
        </is>
      </c>
      <c r="M33" s="4" t="inlineStr">
        <is>
          <t>—</t>
        </is>
      </c>
    </row>
    <row r="34">
      <c r="A34" s="4" t="n">
        <v>30</v>
      </c>
      <c r="B34" s="5" t="inlineStr">
        <is>
          <t>Matchamu</t>
        </is>
      </c>
      <c r="C34" s="5" t="inlineStr">
        <is>
          <t>Matchamu Sakura Latte 250gr</t>
        </is>
      </c>
      <c r="D34" s="6" t="inlineStr">
        <is>
          <t>1730966729165997680</t>
        </is>
      </c>
      <c r="E34" s="4" t="n">
        <v>250</v>
      </c>
      <c r="F34" s="5" t="inlineStr">
        <is>
          <t>Tidak tertera</t>
        </is>
      </c>
      <c r="G34" s="7" t="n">
        <v>36299</v>
      </c>
      <c r="H34" s="7">
        <f>IF(OR($E34="—",$G34="—"),"—",ROUND($G34/$E34,0))</f>
        <v/>
      </c>
      <c r="I34" s="8" t="n">
        <v>2286859</v>
      </c>
      <c r="J34" s="7" t="n">
        <v>63</v>
      </c>
      <c r="K34" s="5" t="inlineStr">
        <is>
          <t>Sakura</t>
        </is>
      </c>
      <c r="L34" s="5" t="inlineStr">
        <is>
          <t>—</t>
        </is>
      </c>
      <c r="M34" s="4" t="inlineStr">
        <is>
          <t>—</t>
        </is>
      </c>
    </row>
    <row r="35">
      <c r="A35" s="4" t="n">
        <v>31</v>
      </c>
      <c r="B35" s="5" t="inlineStr">
        <is>
          <t>Matchamu</t>
        </is>
      </c>
      <c r="C35" s="5" t="inlineStr">
        <is>
          <t>Matchamu Bundle 3pcs Matcha Powder 100gr</t>
        </is>
      </c>
      <c r="D35" s="6" t="inlineStr">
        <is>
          <t>1734979369174337136</t>
        </is>
      </c>
      <c r="E35" s="4" t="n">
        <v>100</v>
      </c>
      <c r="F35" s="5" t="inlineStr">
        <is>
          <t>Tidak tertera</t>
        </is>
      </c>
      <c r="G35" s="7" t="n">
        <v>281037</v>
      </c>
      <c r="H35" s="7">
        <f>IF(OR($E35="—",$G35="—"),"—",ROUND($G35/$E35,0))</f>
        <v/>
      </c>
      <c r="I35" s="8" t="n">
        <v>2248299</v>
      </c>
      <c r="J35" s="7" t="n">
        <v>8</v>
      </c>
      <c r="K35" s="5" t="inlineStr">
        <is>
          <t>Matcha</t>
        </is>
      </c>
      <c r="L35" s="5" t="inlineStr">
        <is>
          <t>Grade tidak disebut</t>
        </is>
      </c>
      <c r="M35" s="10" t="n">
        <v>4</v>
      </c>
    </row>
    <row r="36">
      <c r="A36" s="4" t="n">
        <v>32</v>
      </c>
      <c r="B36" s="5" t="inlineStr">
        <is>
          <t>Matchamu</t>
        </is>
      </c>
      <c r="C36" s="5" t="inlineStr">
        <is>
          <t>Matchamu Matcha Series 15gr</t>
        </is>
      </c>
      <c r="D36" s="6" t="inlineStr">
        <is>
          <t>1730348027605059184</t>
        </is>
      </c>
      <c r="E36" s="4" t="n">
        <v>15</v>
      </c>
      <c r="F36" s="5" t="inlineStr">
        <is>
          <t>Tidak tertera</t>
        </is>
      </c>
      <c r="G36" s="7" t="n">
        <v>15960</v>
      </c>
      <c r="H36" s="7">
        <f>IF(OR($E36="—",$G36="—"),"—",ROUND($G36/$E36,0))</f>
        <v/>
      </c>
      <c r="I36" s="8" t="n">
        <v>2058861</v>
      </c>
      <c r="J36" s="7" t="n">
        <v>129</v>
      </c>
      <c r="K36" s="5" t="inlineStr">
        <is>
          <t>Matcha</t>
        </is>
      </c>
      <c r="L36" s="5" t="inlineStr">
        <is>
          <t>Grade tidak disebut</t>
        </is>
      </c>
      <c r="M36" s="10" t="n">
        <v>4</v>
      </c>
    </row>
    <row r="37">
      <c r="A37" s="4" t="n">
        <v>33</v>
      </c>
      <c r="B37" s="5" t="inlineStr">
        <is>
          <t>Matchamu</t>
        </is>
      </c>
      <c r="C37" s="5" t="inlineStr">
        <is>
          <t>Matchamu Bundle Matcha 5 varian (Kana, Komorebi, Minori, Midori, Maneki)</t>
        </is>
      </c>
      <c r="D37" s="6" t="inlineStr">
        <is>
          <t>1729580299040753264</t>
        </is>
      </c>
      <c r="E37" s="4" t="inlineStr">
        <is>
          <t>—</t>
        </is>
      </c>
      <c r="F37" s="5" t="inlineStr">
        <is>
          <t>Tidak tertera</t>
        </is>
      </c>
      <c r="G37" s="7" t="n">
        <v>136048</v>
      </c>
      <c r="H37" s="7">
        <f>IF(OR($E37="—",$G37="—"),"—",ROUND($G37/$E37,0))</f>
        <v/>
      </c>
      <c r="I37" s="8" t="n">
        <v>1768623</v>
      </c>
      <c r="J37" s="7" t="n">
        <v>13</v>
      </c>
      <c r="K37" s="5" t="inlineStr">
        <is>
          <t>Matcha</t>
        </is>
      </c>
      <c r="L37" s="5" t="inlineStr">
        <is>
          <t>Grade tidak disebut</t>
        </is>
      </c>
      <c r="M37" s="10" t="n">
        <v>4</v>
      </c>
    </row>
    <row r="38">
      <c r="A38" s="4" t="n">
        <v>34</v>
      </c>
      <c r="B38" s="5" t="inlineStr">
        <is>
          <t>Matchamu</t>
        </is>
      </c>
      <c r="C38" s="5" t="inlineStr">
        <is>
          <t>Matchamu Chai Latte 250gr</t>
        </is>
      </c>
      <c r="D38" s="6" t="inlineStr">
        <is>
          <t>1730348034725676656</t>
        </is>
      </c>
      <c r="E38" s="4" t="n">
        <v>250</v>
      </c>
      <c r="F38" s="5" t="inlineStr">
        <is>
          <t>Tidak tertera</t>
        </is>
      </c>
      <c r="G38" s="7" t="n">
        <v>67326</v>
      </c>
      <c r="H38" s="7">
        <f>IF(OR($E38="—",$G38="—"),"—",ROUND($G38/$E38,0))</f>
        <v/>
      </c>
      <c r="I38" s="8" t="n">
        <v>1615831</v>
      </c>
      <c r="J38" s="7" t="n">
        <v>24</v>
      </c>
      <c r="K38" s="5" t="inlineStr">
        <is>
          <t>Chai</t>
        </is>
      </c>
      <c r="L38" s="5" t="inlineStr">
        <is>
          <t>—</t>
        </is>
      </c>
      <c r="M38" s="4" t="inlineStr">
        <is>
          <t>—</t>
        </is>
      </c>
    </row>
    <row r="39">
      <c r="A39" s="4" t="n">
        <v>35</v>
      </c>
      <c r="B39" s="5" t="inlineStr">
        <is>
          <t>Matchamu</t>
        </is>
      </c>
      <c r="C39" s="5" t="inlineStr">
        <is>
          <t>Matchamu Matcha Koga Tincan 40gr</t>
        </is>
      </c>
      <c r="D39" s="6" t="inlineStr">
        <is>
          <t>1730522506774873712</t>
        </is>
      </c>
      <c r="E39" s="4" t="n">
        <v>40</v>
      </c>
      <c r="F39" s="5" t="inlineStr">
        <is>
          <t>Tin Can</t>
        </is>
      </c>
      <c r="G39" s="7" t="n">
        <v>390878</v>
      </c>
      <c r="H39" s="7">
        <f>IF(OR($E39="—",$G39="—"),"—",ROUND($G39/$E39,0))</f>
        <v/>
      </c>
      <c r="I39" s="8" t="n">
        <v>1563513</v>
      </c>
      <c r="J39" s="7" t="n">
        <v>4</v>
      </c>
      <c r="K39" s="5" t="inlineStr">
        <is>
          <t>Matcha</t>
        </is>
      </c>
      <c r="L39" s="5" t="inlineStr">
        <is>
          <t>Grade tidak disebut</t>
        </is>
      </c>
      <c r="M39" s="10" t="n">
        <v>4</v>
      </c>
    </row>
    <row r="40">
      <c r="A40" s="4" t="n">
        <v>36</v>
      </c>
      <c r="B40" s="5" t="inlineStr">
        <is>
          <t>Matchamu</t>
        </is>
      </c>
      <c r="C40" s="5" t="inlineStr">
        <is>
          <t>Matchamu Taro Latte 250gr</t>
        </is>
      </c>
      <c r="D40" s="6" t="inlineStr">
        <is>
          <t>1730348027621181040</t>
        </is>
      </c>
      <c r="E40" s="4" t="n">
        <v>250</v>
      </c>
      <c r="F40" s="5" t="inlineStr">
        <is>
          <t>Tidak tertera</t>
        </is>
      </c>
      <c r="G40" s="7" t="n">
        <v>23701</v>
      </c>
      <c r="H40" s="7">
        <f>IF(OR($E40="—",$G40="—"),"—",ROUND($G40/$E40,0))</f>
        <v/>
      </c>
      <c r="I40" s="8" t="n">
        <v>1493140</v>
      </c>
      <c r="J40" s="7" t="n">
        <v>63</v>
      </c>
      <c r="K40" s="5" t="inlineStr">
        <is>
          <t>Taro</t>
        </is>
      </c>
      <c r="L40" s="5" t="inlineStr">
        <is>
          <t>—</t>
        </is>
      </c>
      <c r="M40" s="4" t="inlineStr">
        <is>
          <t>—</t>
        </is>
      </c>
    </row>
    <row r="41">
      <c r="A41" s="4" t="n">
        <v>37</v>
      </c>
      <c r="B41" s="5" t="inlineStr">
        <is>
          <t>Matchamu</t>
        </is>
      </c>
      <c r="C41" s="5" t="inlineStr">
        <is>
          <t>Matchamu Sakura Powder 50gr</t>
        </is>
      </c>
      <c r="D41" s="6" t="inlineStr">
        <is>
          <t>1730966735519254128</t>
        </is>
      </c>
      <c r="E41" s="4" t="n">
        <v>50</v>
      </c>
      <c r="F41" s="5" t="inlineStr">
        <is>
          <t>Tidak tertera</t>
        </is>
      </c>
      <c r="G41" s="7" t="n">
        <v>57249</v>
      </c>
      <c r="H41" s="7">
        <f>IF(OR($E41="—",$G41="—"),"—",ROUND($G41/$E41,0))</f>
        <v/>
      </c>
      <c r="I41" s="8" t="n">
        <v>1431232</v>
      </c>
      <c r="J41" s="7" t="n">
        <v>25</v>
      </c>
      <c r="K41" s="5" t="inlineStr">
        <is>
          <t>Sakura</t>
        </is>
      </c>
      <c r="L41" s="5" t="inlineStr">
        <is>
          <t>—</t>
        </is>
      </c>
      <c r="M41" s="4" t="inlineStr">
        <is>
          <t>—</t>
        </is>
      </c>
    </row>
    <row r="42">
      <c r="A42" s="4" t="n">
        <v>38</v>
      </c>
      <c r="B42" s="5" t="inlineStr">
        <is>
          <t>Matchamu</t>
        </is>
      </c>
      <c r="C42" s="5" t="inlineStr">
        <is>
          <t>Matchamu Matcha Jingshan China Origin</t>
        </is>
      </c>
      <c r="D42" s="6" t="inlineStr">
        <is>
          <t>1731849221255497328</t>
        </is>
      </c>
      <c r="E42" s="4" t="inlineStr">
        <is>
          <t>—</t>
        </is>
      </c>
      <c r="F42" s="5" t="inlineStr">
        <is>
          <t>Tidak tertera</t>
        </is>
      </c>
      <c r="G42" s="7" t="n">
        <v>174696</v>
      </c>
      <c r="H42" s="7">
        <f>IF(OR($E42="—",$G42="—"),"—",ROUND($G42/$E42,0))</f>
        <v/>
      </c>
      <c r="I42" s="8" t="n">
        <v>1397567</v>
      </c>
      <c r="J42" s="7" t="n">
        <v>8</v>
      </c>
      <c r="K42" s="5" t="inlineStr">
        <is>
          <t>Matcha</t>
        </is>
      </c>
      <c r="L42" s="5" t="inlineStr">
        <is>
          <t>Grade tidak disebut</t>
        </is>
      </c>
      <c r="M42" s="10" t="n">
        <v>4</v>
      </c>
    </row>
    <row r="43">
      <c r="A43" s="4" t="n">
        <v>39</v>
      </c>
      <c r="B43" s="5" t="inlineStr">
        <is>
          <t>Matchamu</t>
        </is>
      </c>
      <c r="C43" s="5" t="inlineStr">
        <is>
          <t>Matchamu Kannabi no Kami Ceremonial Matcha Powder 30gr</t>
        </is>
      </c>
      <c r="D43" s="6" t="inlineStr">
        <is>
          <t>1733205463356245616</t>
        </is>
      </c>
      <c r="E43" s="4" t="n">
        <v>30</v>
      </c>
      <c r="F43" s="5" t="inlineStr">
        <is>
          <t>Tidak tertera</t>
        </is>
      </c>
      <c r="G43" s="7" t="n">
        <v>154456</v>
      </c>
      <c r="H43" s="7">
        <f>IF(OR($E43="—",$G43="—"),"—",ROUND($G43/$E43,0))</f>
        <v/>
      </c>
      <c r="I43" s="8" t="n">
        <v>1235651</v>
      </c>
      <c r="J43" s="7" t="n">
        <v>8</v>
      </c>
      <c r="K43" s="5" t="inlineStr">
        <is>
          <t>Matcha</t>
        </is>
      </c>
      <c r="L43" s="5" t="inlineStr">
        <is>
          <t>Ceremonial</t>
        </is>
      </c>
      <c r="M43" s="9" t="n">
        <v>1</v>
      </c>
    </row>
    <row r="44">
      <c r="A44" s="4" t="n">
        <v>40</v>
      </c>
      <c r="B44" s="5" t="inlineStr">
        <is>
          <t>Matchamu</t>
        </is>
      </c>
      <c r="C44" s="5" t="inlineStr">
        <is>
          <t>Matchamu Sweet Matcha 1kg</t>
        </is>
      </c>
      <c r="D44" s="6" t="inlineStr">
        <is>
          <t>1730348034762573424</t>
        </is>
      </c>
      <c r="E44" s="4" t="n">
        <v>1000</v>
      </c>
      <c r="F44" s="5" t="inlineStr">
        <is>
          <t>Tidak tertera</t>
        </is>
      </c>
      <c r="G44" s="7" t="n">
        <v>398372</v>
      </c>
      <c r="H44" s="7">
        <f>IF(OR($E44="—",$G44="—"),"—",ROUND($G44/$E44,0))</f>
        <v/>
      </c>
      <c r="I44" s="8" t="n">
        <v>1195116</v>
      </c>
      <c r="J44" s="7" t="n">
        <v>3</v>
      </c>
      <c r="K44" s="5" t="inlineStr">
        <is>
          <t>Matcha</t>
        </is>
      </c>
      <c r="L44" s="5" t="inlineStr">
        <is>
          <t>Culinary/Latte</t>
        </is>
      </c>
      <c r="M44" s="11" t="n">
        <v>3</v>
      </c>
    </row>
    <row r="45">
      <c r="A45" s="4" t="n">
        <v>41</v>
      </c>
      <c r="B45" s="5" t="inlineStr">
        <is>
          <t>Matchamu</t>
        </is>
      </c>
      <c r="C45" s="5" t="inlineStr">
        <is>
          <t>Matchamu Hojicha Powder 50gr</t>
        </is>
      </c>
      <c r="D45" s="6" t="inlineStr">
        <is>
          <t>1730348035508897392</t>
        </is>
      </c>
      <c r="E45" s="4" t="n">
        <v>50</v>
      </c>
      <c r="F45" s="5" t="inlineStr">
        <is>
          <t>Tidak tertera</t>
        </is>
      </c>
      <c r="G45" s="7" t="n">
        <v>51524</v>
      </c>
      <c r="H45" s="7">
        <f>IF(OR($E45="—",$G45="—"),"—",ROUND($G45/$E45,0))</f>
        <v/>
      </c>
      <c r="I45" s="8" t="n">
        <v>1133532</v>
      </c>
      <c r="J45" s="7" t="n">
        <v>22</v>
      </c>
      <c r="K45" s="5" t="inlineStr">
        <is>
          <t>Hojicha</t>
        </is>
      </c>
      <c r="L45" s="5" t="inlineStr">
        <is>
          <t>—</t>
        </is>
      </c>
      <c r="M45" s="4" t="inlineStr">
        <is>
          <t>—</t>
        </is>
      </c>
    </row>
    <row r="46">
      <c r="A46" s="4" t="n">
        <v>42</v>
      </c>
      <c r="B46" s="5" t="inlineStr">
        <is>
          <t>Matchamu</t>
        </is>
      </c>
      <c r="C46" s="5" t="inlineStr">
        <is>
          <t>Matchamu Gift of Happiness</t>
        </is>
      </c>
      <c r="D46" s="6" t="inlineStr">
        <is>
          <t>1729425701784423024</t>
        </is>
      </c>
      <c r="E46" s="4" t="inlineStr">
        <is>
          <t>—</t>
        </is>
      </c>
      <c r="F46" s="5" t="inlineStr">
        <is>
          <t>Tidak tertera</t>
        </is>
      </c>
      <c r="G46" s="7" t="n">
        <v>75552</v>
      </c>
      <c r="H46" s="7">
        <f>IF(OR($E46="—",$G46="—"),"—",ROUND($G46/$E46,0))</f>
        <v/>
      </c>
      <c r="I46" s="8" t="n">
        <v>1133287</v>
      </c>
      <c r="J46" s="7" t="n">
        <v>15</v>
      </c>
      <c r="K46" s="5" t="inlineStr">
        <is>
          <t>Lainnya</t>
        </is>
      </c>
      <c r="L46" s="5" t="inlineStr">
        <is>
          <t>—</t>
        </is>
      </c>
      <c r="M46" s="4" t="inlineStr">
        <is>
          <t>—</t>
        </is>
      </c>
    </row>
    <row r="47">
      <c r="A47" s="4" t="n">
        <v>43</v>
      </c>
      <c r="B47" s="5" t="inlineStr">
        <is>
          <t>Matchamu</t>
        </is>
      </c>
      <c r="C47" s="5" t="inlineStr">
        <is>
          <t>Matchamu Chasen Purple Bamboo</t>
        </is>
      </c>
      <c r="D47" s="6" t="inlineStr">
        <is>
          <t>1730797441609467504</t>
        </is>
      </c>
      <c r="E47" s="4" t="inlineStr">
        <is>
          <t>—</t>
        </is>
      </c>
      <c r="F47" s="5" t="inlineStr">
        <is>
          <t>Tidak tertera</t>
        </is>
      </c>
      <c r="G47" s="7" t="n">
        <v>341651</v>
      </c>
      <c r="H47" s="7">
        <f>IF(OR($E47="—",$G47="—"),"—",ROUND($G47/$E47,0))</f>
        <v/>
      </c>
      <c r="I47" s="8" t="n">
        <v>1024954</v>
      </c>
      <c r="J47" s="7" t="n">
        <v>3</v>
      </c>
      <c r="K47" s="5" t="inlineStr">
        <is>
          <t>Alat/Aksesori (non-minuman)</t>
        </is>
      </c>
      <c r="L47" s="5" t="inlineStr">
        <is>
          <t>—</t>
        </is>
      </c>
      <c r="M47" s="4" t="inlineStr">
        <is>
          <t>—</t>
        </is>
      </c>
    </row>
    <row r="48">
      <c r="A48" s="4" t="n">
        <v>44</v>
      </c>
      <c r="B48" s="5" t="inlineStr">
        <is>
          <t>Matchamu</t>
        </is>
      </c>
      <c r="C48" s="5" t="inlineStr">
        <is>
          <t>Matchamu Hojicha Powder 100gr</t>
        </is>
      </c>
      <c r="D48" s="6" t="inlineStr">
        <is>
          <t>1730348035557328496</t>
        </is>
      </c>
      <c r="E48" s="4" t="n">
        <v>100</v>
      </c>
      <c r="F48" s="5" t="inlineStr">
        <is>
          <t>Tidak tertera</t>
        </is>
      </c>
      <c r="G48" s="7" t="n">
        <v>119417</v>
      </c>
      <c r="H48" s="7">
        <f>IF(OR($E48="—",$G48="—"),"—",ROUND($G48/$E48,0))</f>
        <v/>
      </c>
      <c r="I48" s="8" t="n">
        <v>955336</v>
      </c>
      <c r="J48" s="7" t="n">
        <v>8</v>
      </c>
      <c r="K48" s="5" t="inlineStr">
        <is>
          <t>Hojicha</t>
        </is>
      </c>
      <c r="L48" s="5" t="inlineStr">
        <is>
          <t>—</t>
        </is>
      </c>
      <c r="M48" s="4" t="inlineStr">
        <is>
          <t>—</t>
        </is>
      </c>
    </row>
    <row r="49">
      <c r="A49" s="4" t="n">
        <v>45</v>
      </c>
      <c r="B49" s="5" t="inlineStr">
        <is>
          <t>Matchamu</t>
        </is>
      </c>
      <c r="C49" s="5" t="inlineStr">
        <is>
          <t>Matchamu Matcha Komorebi Powder 15gr</t>
        </is>
      </c>
      <c r="D49" s="6" t="inlineStr">
        <is>
          <t>1729988594685348464</t>
        </is>
      </c>
      <c r="E49" s="4" t="n">
        <v>15</v>
      </c>
      <c r="F49" s="5" t="inlineStr">
        <is>
          <t>Tidak tertera</t>
        </is>
      </c>
      <c r="G49" s="7" t="n">
        <v>15489</v>
      </c>
      <c r="H49" s="7">
        <f>IF(OR($E49="—",$G49="—"),"—",ROUND($G49/$E49,0))</f>
        <v/>
      </c>
      <c r="I49" s="8" t="n">
        <v>944801</v>
      </c>
      <c r="J49" s="7" t="n">
        <v>61</v>
      </c>
      <c r="K49" s="5" t="inlineStr">
        <is>
          <t>Matcha</t>
        </is>
      </c>
      <c r="L49" s="5" t="inlineStr">
        <is>
          <t>Grade tidak disebut</t>
        </is>
      </c>
      <c r="M49" s="10" t="n">
        <v>4</v>
      </c>
    </row>
    <row r="50">
      <c r="A50" s="4" t="n">
        <v>46</v>
      </c>
      <c r="B50" s="5" t="inlineStr">
        <is>
          <t>Matchamu</t>
        </is>
      </c>
      <c r="C50" s="5" t="inlineStr">
        <is>
          <t>Matchamu Bundle MPS Kana + Komorebi + Minori 15gr</t>
        </is>
      </c>
      <c r="D50" s="6" t="inlineStr">
        <is>
          <t>1735265345896810096</t>
        </is>
      </c>
      <c r="E50" s="4" t="n">
        <v>15</v>
      </c>
      <c r="F50" s="5" t="inlineStr">
        <is>
          <t>Tidak tertera</t>
        </is>
      </c>
      <c r="G50" s="7" t="n">
        <v>93547</v>
      </c>
      <c r="H50" s="7">
        <f>IF(OR($E50="—",$G50="—"),"—",ROUND($G50/$E50,0))</f>
        <v/>
      </c>
      <c r="I50" s="8" t="n">
        <v>935467</v>
      </c>
      <c r="J50" s="7" t="n">
        <v>10</v>
      </c>
      <c r="K50" s="5" t="inlineStr">
        <is>
          <t>Lainnya</t>
        </is>
      </c>
      <c r="L50" s="5" t="inlineStr">
        <is>
          <t>—</t>
        </is>
      </c>
      <c r="M50" s="4" t="inlineStr">
        <is>
          <t>—</t>
        </is>
      </c>
    </row>
    <row r="51">
      <c r="A51" s="4" t="n">
        <v>47</v>
      </c>
      <c r="B51" s="5" t="inlineStr">
        <is>
          <t>Matchamu</t>
        </is>
      </c>
      <c r="C51" s="5" t="inlineStr">
        <is>
          <t>Matchamu Ki Ceremonial Matcha Powder</t>
        </is>
      </c>
      <c r="D51" s="6" t="inlineStr">
        <is>
          <t>1733205306515687024</t>
        </is>
      </c>
      <c r="E51" s="4" t="inlineStr">
        <is>
          <t>—</t>
        </is>
      </c>
      <c r="F51" s="5" t="inlineStr">
        <is>
          <t>Tidak tertera</t>
        </is>
      </c>
      <c r="G51" s="7" t="n">
        <v>76680</v>
      </c>
      <c r="H51" s="7">
        <f>IF(OR($E51="—",$G51="—"),"—",ROUND($G51/$E51,0))</f>
        <v/>
      </c>
      <c r="I51" s="8" t="n">
        <v>843484</v>
      </c>
      <c r="J51" s="7" t="n">
        <v>11</v>
      </c>
      <c r="K51" s="5" t="inlineStr">
        <is>
          <t>Matcha</t>
        </is>
      </c>
      <c r="L51" s="5" t="inlineStr">
        <is>
          <t>Ceremonial</t>
        </is>
      </c>
      <c r="M51" s="9" t="n">
        <v>1</v>
      </c>
    </row>
    <row r="52">
      <c r="A52" s="4" t="n">
        <v>48</v>
      </c>
      <c r="B52" s="5" t="inlineStr">
        <is>
          <t>Matchamu</t>
        </is>
      </c>
      <c r="C52" s="5" t="inlineStr">
        <is>
          <t>Matchamu 3 box/ 15 sachet Abang Teh Tarik</t>
        </is>
      </c>
      <c r="D52" s="6" t="inlineStr">
        <is>
          <t>1734435988749387376</t>
        </is>
      </c>
      <c r="E52" s="4" t="inlineStr">
        <is>
          <t>—</t>
        </is>
      </c>
      <c r="F52" s="5" t="inlineStr">
        <is>
          <t>Sachet/Box</t>
        </is>
      </c>
      <c r="G52" s="7" t="n">
        <v>28821</v>
      </c>
      <c r="H52" s="7">
        <f>IF(OR($E52="—",$G52="—"),"—",ROUND($G52/$E52,0))</f>
        <v/>
      </c>
      <c r="I52" s="8" t="n">
        <v>749350</v>
      </c>
      <c r="J52" s="7" t="n">
        <v>26</v>
      </c>
      <c r="K52" s="5" t="inlineStr">
        <is>
          <t>Teh Tarik</t>
        </is>
      </c>
      <c r="L52" s="5" t="inlineStr">
        <is>
          <t>—</t>
        </is>
      </c>
      <c r="M52" s="4" t="inlineStr">
        <is>
          <t>—</t>
        </is>
      </c>
    </row>
    <row r="53">
      <c r="A53" s="4" t="n">
        <v>49</v>
      </c>
      <c r="B53" s="5" t="inlineStr">
        <is>
          <t>Matchamu</t>
        </is>
      </c>
      <c r="C53" s="5" t="inlineStr">
        <is>
          <t>Matchamu Matcha Latte 250gr</t>
        </is>
      </c>
      <c r="D53" s="6" t="inlineStr">
        <is>
          <t>1730966729869854320</t>
        </is>
      </c>
      <c r="E53" s="4" t="n">
        <v>250</v>
      </c>
      <c r="F53" s="5" t="inlineStr">
        <is>
          <t>Tidak tertera</t>
        </is>
      </c>
      <c r="G53" s="7" t="n">
        <v>72106</v>
      </c>
      <c r="H53" s="7">
        <f>IF(OR($E53="—",$G53="—"),"—",ROUND($G53/$E53,0))</f>
        <v/>
      </c>
      <c r="I53" s="8" t="n">
        <v>721058</v>
      </c>
      <c r="J53" s="7" t="n">
        <v>10</v>
      </c>
      <c r="K53" s="5" t="inlineStr">
        <is>
          <t>Matcha</t>
        </is>
      </c>
      <c r="L53" s="5" t="inlineStr">
        <is>
          <t>Culinary/Latte</t>
        </is>
      </c>
      <c r="M53" s="11" t="n">
        <v>3</v>
      </c>
    </row>
    <row r="54">
      <c r="A54" s="4" t="n">
        <v>50</v>
      </c>
      <c r="B54" s="5" t="inlineStr">
        <is>
          <t>Matchamu</t>
        </is>
      </c>
      <c r="C54" s="5" t="inlineStr">
        <is>
          <t>Matchamu Matcha Latte  1Kg</t>
        </is>
      </c>
      <c r="D54" s="6" t="inlineStr">
        <is>
          <t>1730966729819588208</t>
        </is>
      </c>
      <c r="E54" s="4" t="n">
        <v>1000</v>
      </c>
      <c r="F54" s="5" t="inlineStr">
        <is>
          <t>Tidak tertera</t>
        </is>
      </c>
      <c r="G54" s="7" t="n">
        <v>336668</v>
      </c>
      <c r="H54" s="7">
        <f>IF(OR($E54="—",$G54="—"),"—",ROUND($G54/$E54,0))</f>
        <v/>
      </c>
      <c r="I54" s="8" t="n">
        <v>673336</v>
      </c>
      <c r="J54" s="7" t="n">
        <v>2</v>
      </c>
      <c r="K54" s="5" t="inlineStr">
        <is>
          <t>Matcha</t>
        </is>
      </c>
      <c r="L54" s="5" t="inlineStr">
        <is>
          <t>Culinary/Latte</t>
        </is>
      </c>
      <c r="M54" s="11" t="n">
        <v>3</v>
      </c>
    </row>
    <row r="55">
      <c r="A55" s="4" t="n">
        <v>51</v>
      </c>
      <c r="B55" s="5" t="inlineStr">
        <is>
          <t>Matchamu</t>
        </is>
      </c>
      <c r="C55" s="5" t="inlineStr">
        <is>
          <t>Matchamu Bundling Matcha Kana Tincan Ceremonial 40gr + Matcha Komorebi 100gr</t>
        </is>
      </c>
      <c r="D55" s="6" t="inlineStr">
        <is>
          <t>1733826267636860528</t>
        </is>
      </c>
      <c r="E55" s="4" t="n">
        <v>40</v>
      </c>
      <c r="F55" s="5" t="inlineStr">
        <is>
          <t>Tin Can</t>
        </is>
      </c>
      <c r="G55" s="7" t="n">
        <v>336341</v>
      </c>
      <c r="H55" s="7">
        <f>IF(OR($E55="—",$G55="—"),"—",ROUND($G55/$E55,0))</f>
        <v/>
      </c>
      <c r="I55" s="8" t="n">
        <v>672683</v>
      </c>
      <c r="J55" s="7" t="n">
        <v>2</v>
      </c>
      <c r="K55" s="5" t="inlineStr">
        <is>
          <t>Matcha</t>
        </is>
      </c>
      <c r="L55" s="5" t="inlineStr">
        <is>
          <t>Ceremonial</t>
        </is>
      </c>
      <c r="M55" s="9" t="n">
        <v>1</v>
      </c>
    </row>
    <row r="56">
      <c r="A56" s="4" t="n">
        <v>52</v>
      </c>
      <c r="B56" s="5" t="inlineStr">
        <is>
          <t>Matchamu</t>
        </is>
      </c>
      <c r="C56" s="5" t="inlineStr">
        <is>
          <t>Matchamu Sakura Powder 100gr</t>
        </is>
      </c>
      <c r="D56" s="6" t="inlineStr">
        <is>
          <t>1730966729133688432</t>
        </is>
      </c>
      <c r="E56" s="4" t="n">
        <v>100</v>
      </c>
      <c r="F56" s="5" t="inlineStr">
        <is>
          <t>Tidak tertera</t>
        </is>
      </c>
      <c r="G56" s="7" t="n">
        <v>104700</v>
      </c>
      <c r="H56" s="7">
        <f>IF(OR($E56="—",$G56="—"),"—",ROUND($G56/$E56,0))</f>
        <v/>
      </c>
      <c r="I56" s="8" t="n">
        <v>628197</v>
      </c>
      <c r="J56" s="7" t="n">
        <v>6</v>
      </c>
      <c r="K56" s="5" t="inlineStr">
        <is>
          <t>Sakura</t>
        </is>
      </c>
      <c r="L56" s="5" t="inlineStr">
        <is>
          <t>—</t>
        </is>
      </c>
      <c r="M56" s="4" t="inlineStr">
        <is>
          <t>—</t>
        </is>
      </c>
    </row>
    <row r="57">
      <c r="A57" s="4" t="n">
        <v>53</v>
      </c>
      <c r="B57" s="5" t="inlineStr">
        <is>
          <t>Matchamu</t>
        </is>
      </c>
      <c r="C57" s="5" t="inlineStr">
        <is>
          <t>Matchamu Taro Powder 50gr</t>
        </is>
      </c>
      <c r="D57" s="6" t="inlineStr">
        <is>
          <t>1730966728908572272</t>
        </is>
      </c>
      <c r="E57" s="4" t="n">
        <v>50</v>
      </c>
      <c r="F57" s="5" t="inlineStr">
        <is>
          <t>Tidak tertera</t>
        </is>
      </c>
      <c r="G57" s="7" t="n">
        <v>8927</v>
      </c>
      <c r="H57" s="7">
        <f>IF(OR($E57="—",$G57="—"),"—",ROUND($G57/$E57,0))</f>
        <v/>
      </c>
      <c r="I57" s="8" t="n">
        <v>374951</v>
      </c>
      <c r="J57" s="7" t="n">
        <v>42</v>
      </c>
      <c r="K57" s="5" t="inlineStr">
        <is>
          <t>Taro</t>
        </is>
      </c>
      <c r="L57" s="5" t="inlineStr">
        <is>
          <t>—</t>
        </is>
      </c>
      <c r="M57" s="4" t="inlineStr">
        <is>
          <t>—</t>
        </is>
      </c>
    </row>
    <row r="58">
      <c r="A58" s="4" t="n">
        <v>54</v>
      </c>
      <c r="B58" s="5" t="inlineStr">
        <is>
          <t>Matchamu</t>
        </is>
      </c>
      <c r="C58" s="5" t="inlineStr">
        <is>
          <t>Matchamu 2 pcs Matcha Minori Powder 15gr</t>
        </is>
      </c>
      <c r="D58" s="6" t="inlineStr">
        <is>
          <t>1729729489676372592</t>
        </is>
      </c>
      <c r="E58" s="4" t="n">
        <v>15</v>
      </c>
      <c r="F58" s="5" t="inlineStr">
        <is>
          <t>Tidak tertera</t>
        </is>
      </c>
      <c r="G58" s="7" t="n">
        <v>29220</v>
      </c>
      <c r="H58" s="7">
        <f>IF(OR($E58="—",$G58="—"),"—",ROUND($G58/$E58,0))</f>
        <v/>
      </c>
      <c r="I58" s="8" t="n">
        <v>321421</v>
      </c>
      <c r="J58" s="7" t="n">
        <v>11</v>
      </c>
      <c r="K58" s="5" t="inlineStr">
        <is>
          <t>Matcha</t>
        </is>
      </c>
      <c r="L58" s="5" t="inlineStr">
        <is>
          <t>Grade tidak disebut</t>
        </is>
      </c>
      <c r="M58" s="10" t="n">
        <v>4</v>
      </c>
    </row>
    <row r="59">
      <c r="A59" s="4" t="n">
        <v>55</v>
      </c>
      <c r="B59" s="5" t="inlineStr">
        <is>
          <t>Matchamu</t>
        </is>
      </c>
      <c r="C59" s="5" t="inlineStr">
        <is>
          <t>Matchamu 3 box/ 9 sachet Sakura Latte</t>
        </is>
      </c>
      <c r="D59" s="6" t="inlineStr">
        <is>
          <t>1729429995529276016</t>
        </is>
      </c>
      <c r="E59" s="4" t="inlineStr">
        <is>
          <t>—</t>
        </is>
      </c>
      <c r="F59" s="5" t="inlineStr">
        <is>
          <t>Sachet/Box</t>
        </is>
      </c>
      <c r="G59" s="7" t="n">
        <v>40114</v>
      </c>
      <c r="H59" s="7">
        <f>IF(OR($E59="—",$G59="—"),"—",ROUND($G59/$E59,0))</f>
        <v/>
      </c>
      <c r="I59" s="8" t="n">
        <v>320911</v>
      </c>
      <c r="J59" s="7" t="n">
        <v>8</v>
      </c>
      <c r="K59" s="5" t="inlineStr">
        <is>
          <t>Sakura</t>
        </is>
      </c>
      <c r="L59" s="5" t="inlineStr">
        <is>
          <t>—</t>
        </is>
      </c>
      <c r="M59" s="4" t="inlineStr">
        <is>
          <t>—</t>
        </is>
      </c>
    </row>
    <row r="60">
      <c r="A60" s="4" t="n">
        <v>56</v>
      </c>
      <c r="B60" s="5" t="inlineStr">
        <is>
          <t>Matchamu</t>
        </is>
      </c>
      <c r="C60" s="5" t="inlineStr">
        <is>
          <t>Matchamu Sweet Matcha 500gr</t>
        </is>
      </c>
      <c r="D60" s="6" t="inlineStr">
        <is>
          <t>1730348027600995952</t>
        </is>
      </c>
      <c r="E60" s="4" t="n">
        <v>500</v>
      </c>
      <c r="F60" s="5" t="inlineStr">
        <is>
          <t>Tidak tertera</t>
        </is>
      </c>
      <c r="G60" s="7" t="n">
        <v>158081</v>
      </c>
      <c r="H60" s="7">
        <f>IF(OR($E60="—",$G60="—"),"—",ROUND($G60/$E60,0))</f>
        <v/>
      </c>
      <c r="I60" s="8" t="n">
        <v>316162</v>
      </c>
      <c r="J60" s="7" t="n">
        <v>2</v>
      </c>
      <c r="K60" s="5" t="inlineStr">
        <is>
          <t>Matcha</t>
        </is>
      </c>
      <c r="L60" s="5" t="inlineStr">
        <is>
          <t>Culinary/Latte</t>
        </is>
      </c>
      <c r="M60" s="11" t="n">
        <v>3</v>
      </c>
    </row>
    <row r="61">
      <c r="A61" s="4" t="n">
        <v>57</v>
      </c>
      <c r="B61" s="5" t="inlineStr">
        <is>
          <t>Matchamu</t>
        </is>
      </c>
      <c r="C61" s="5" t="inlineStr">
        <is>
          <t>Matchamu Hojicha Latte (1 box isi 20 sachet)</t>
        </is>
      </c>
      <c r="D61" s="6" t="inlineStr">
        <is>
          <t>1729420339867257456</t>
        </is>
      </c>
      <c r="E61" s="4" t="inlineStr">
        <is>
          <t>—</t>
        </is>
      </c>
      <c r="F61" s="5" t="inlineStr">
        <is>
          <t>Sachet/Box</t>
        </is>
      </c>
      <c r="G61" s="7" t="n">
        <v>98418</v>
      </c>
      <c r="H61" s="7">
        <f>IF(OR($E61="—",$G61="—"),"—",ROUND($G61/$E61,0))</f>
        <v/>
      </c>
      <c r="I61" s="8" t="n">
        <v>295255</v>
      </c>
      <c r="J61" s="7" t="n">
        <v>3</v>
      </c>
      <c r="K61" s="5" t="inlineStr">
        <is>
          <t>Hojicha</t>
        </is>
      </c>
      <c r="L61" s="5" t="inlineStr">
        <is>
          <t>—</t>
        </is>
      </c>
      <c r="M61" s="4" t="inlineStr">
        <is>
          <t>—</t>
        </is>
      </c>
    </row>
    <row r="62">
      <c r="A62" s="4" t="n">
        <v>58</v>
      </c>
      <c r="B62" s="5" t="inlineStr">
        <is>
          <t>Matchamu</t>
        </is>
      </c>
      <c r="C62" s="5" t="inlineStr">
        <is>
          <t>Matchamu Sweet Matcha 250gr</t>
        </is>
      </c>
      <c r="D62" s="6" t="inlineStr">
        <is>
          <t>1730348036247488112</t>
        </is>
      </c>
      <c r="E62" s="4" t="n">
        <v>250</v>
      </c>
      <c r="F62" s="5" t="inlineStr">
        <is>
          <t>Tidak tertera</t>
        </is>
      </c>
      <c r="G62" s="7" t="n">
        <v>97561</v>
      </c>
      <c r="H62" s="7">
        <f>IF(OR($E62="—",$G62="—"),"—",ROUND($G62/$E62,0))</f>
        <v/>
      </c>
      <c r="I62" s="8" t="n">
        <v>292683</v>
      </c>
      <c r="J62" s="7" t="n">
        <v>3</v>
      </c>
      <c r="K62" s="5" t="inlineStr">
        <is>
          <t>Matcha</t>
        </is>
      </c>
      <c r="L62" s="5" t="inlineStr">
        <is>
          <t>Culinary/Latte</t>
        </is>
      </c>
      <c r="M62" s="11" t="n">
        <v>3</v>
      </c>
    </row>
    <row r="63">
      <c r="A63" s="4" t="n">
        <v>59</v>
      </c>
      <c r="B63" s="5" t="inlineStr">
        <is>
          <t>Matchamu</t>
        </is>
      </c>
      <c r="C63" s="5" t="inlineStr">
        <is>
          <t>Matchamu 3 pcs Matcha Maneki Powder 15gr</t>
        </is>
      </c>
      <c r="D63" s="6" t="inlineStr">
        <is>
          <t>1729980331895065200</t>
        </is>
      </c>
      <c r="E63" s="4" t="n">
        <v>15</v>
      </c>
      <c r="F63" s="5" t="inlineStr">
        <is>
          <t>Tidak tertera</t>
        </is>
      </c>
      <c r="G63" s="7" t="n">
        <v>16436</v>
      </c>
      <c r="H63" s="7">
        <f>IF(OR($E63="—",$G63="—"),"—",ROUND($G63/$E63,0))</f>
        <v/>
      </c>
      <c r="I63" s="8" t="n">
        <v>279415</v>
      </c>
      <c r="J63" s="7" t="n">
        <v>17</v>
      </c>
      <c r="K63" s="5" t="inlineStr">
        <is>
          <t>Matcha</t>
        </is>
      </c>
      <c r="L63" s="5" t="inlineStr">
        <is>
          <t>Grade tidak disebut</t>
        </is>
      </c>
      <c r="M63" s="10" t="n">
        <v>4</v>
      </c>
    </row>
    <row r="64">
      <c r="A64" s="4" t="n">
        <v>60</v>
      </c>
      <c r="B64" s="5" t="inlineStr">
        <is>
          <t>Matchamu</t>
        </is>
      </c>
      <c r="C64" s="5" t="inlineStr">
        <is>
          <t>Matchamu Chawan Transparent Bowl</t>
        </is>
      </c>
      <c r="D64" s="6" t="inlineStr">
        <is>
          <t>1730797428895745648</t>
        </is>
      </c>
      <c r="E64" s="4" t="inlineStr">
        <is>
          <t>—</t>
        </is>
      </c>
      <c r="F64" s="5" t="inlineStr">
        <is>
          <t>Tidak tertera</t>
        </is>
      </c>
      <c r="G64" s="7" t="n">
        <v>243708</v>
      </c>
      <c r="H64" s="7">
        <f>IF(OR($E64="—",$G64="—"),"—",ROUND($G64/$E64,0))</f>
        <v/>
      </c>
      <c r="I64" s="8" t="n">
        <v>243708</v>
      </c>
      <c r="J64" s="7" t="n">
        <v>1</v>
      </c>
      <c r="K64" s="5" t="inlineStr">
        <is>
          <t>Alat/Aksesori (non-minuman)</t>
        </is>
      </c>
      <c r="L64" s="5" t="inlineStr">
        <is>
          <t>—</t>
        </is>
      </c>
      <c r="M64" s="4" t="inlineStr">
        <is>
          <t>—</t>
        </is>
      </c>
    </row>
    <row r="65">
      <c r="A65" s="4" t="n">
        <v>61</v>
      </c>
      <c r="B65" s="5" t="inlineStr">
        <is>
          <t>Matchamu</t>
        </is>
      </c>
      <c r="C65" s="5" t="inlineStr">
        <is>
          <t>Matchamu Taro Powder 100gr</t>
        </is>
      </c>
      <c r="D65" s="6" t="inlineStr">
        <is>
          <t>1730348034723710576</t>
        </is>
      </c>
      <c r="E65" s="4" t="n">
        <v>100</v>
      </c>
      <c r="F65" s="5" t="inlineStr">
        <is>
          <t>Tidak tertera</t>
        </is>
      </c>
      <c r="G65" s="7" t="n">
        <v>24974</v>
      </c>
      <c r="H65" s="7">
        <f>IF(OR($E65="—",$G65="—"),"—",ROUND($G65/$E65,0))</f>
        <v/>
      </c>
      <c r="I65" s="8" t="n">
        <v>224767</v>
      </c>
      <c r="J65" s="7" t="n">
        <v>9</v>
      </c>
      <c r="K65" s="5" t="inlineStr">
        <is>
          <t>Taro</t>
        </is>
      </c>
      <c r="L65" s="5" t="inlineStr">
        <is>
          <t>—</t>
        </is>
      </c>
      <c r="M65" s="4" t="inlineStr">
        <is>
          <t>—</t>
        </is>
      </c>
    </row>
    <row r="66">
      <c r="A66" s="4" t="n">
        <v>62</v>
      </c>
      <c r="B66" s="5" t="inlineStr">
        <is>
          <t>Matchamu</t>
        </is>
      </c>
      <c r="C66" s="5" t="inlineStr">
        <is>
          <t>Matchamu 2pcs Matcha Midori Powder 15gr</t>
        </is>
      </c>
      <c r="D66" s="6" t="inlineStr">
        <is>
          <t>1729980320451234416</t>
        </is>
      </c>
      <c r="E66" s="4" t="n">
        <v>15</v>
      </c>
      <c r="F66" s="5" t="inlineStr">
        <is>
          <t>Tidak tertera</t>
        </is>
      </c>
      <c r="G66" s="7" t="n">
        <v>19379</v>
      </c>
      <c r="H66" s="7">
        <f>IF(OR($E66="—",$G66="—"),"—",ROUND($G66/$E66,0))</f>
        <v/>
      </c>
      <c r="I66" s="8" t="n">
        <v>135651</v>
      </c>
      <c r="J66" s="7" t="n">
        <v>7</v>
      </c>
      <c r="K66" s="5" t="inlineStr">
        <is>
          <t>Matcha</t>
        </is>
      </c>
      <c r="L66" s="5" t="inlineStr">
        <is>
          <t>Grade tidak disebut</t>
        </is>
      </c>
      <c r="M66" s="10" t="n">
        <v>4</v>
      </c>
    </row>
    <row r="67">
      <c r="A67" s="4" t="n">
        <v>63</v>
      </c>
      <c r="B67" s="5" t="inlineStr">
        <is>
          <t>Matchamu</t>
        </is>
      </c>
      <c r="C67" s="5" t="inlineStr">
        <is>
          <t>Matchamu Bundling Komorebi 15gr + Minori 15gr 2pcs</t>
        </is>
      </c>
      <c r="D67" s="6" t="inlineStr">
        <is>
          <t>1733826295625320048</t>
        </is>
      </c>
      <c r="E67" s="4" t="n">
        <v>15</v>
      </c>
      <c r="F67" s="5" t="inlineStr">
        <is>
          <t>Tidak tertera</t>
        </is>
      </c>
      <c r="G67" s="7" t="n">
        <v>61129</v>
      </c>
      <c r="H67" s="7">
        <f>IF(OR($E67="—",$G67="—"),"—",ROUND($G67/$E67,0))</f>
        <v/>
      </c>
      <c r="I67" s="8" t="n">
        <v>122259</v>
      </c>
      <c r="J67" s="7" t="n">
        <v>2</v>
      </c>
      <c r="K67" s="5" t="inlineStr">
        <is>
          <t>Lainnya</t>
        </is>
      </c>
      <c r="L67" s="5" t="inlineStr">
        <is>
          <t>—</t>
        </is>
      </c>
      <c r="M67" s="4" t="inlineStr">
        <is>
          <t>—</t>
        </is>
      </c>
    </row>
    <row r="68">
      <c r="A68" s="4" t="n">
        <v>64</v>
      </c>
      <c r="B68" s="5" t="inlineStr">
        <is>
          <t>Matchamu</t>
        </is>
      </c>
      <c r="C68" s="5" t="inlineStr">
        <is>
          <t>Matchamu 3 box/ 9 sachet Hojicha Latte</t>
        </is>
      </c>
      <c r="D68" s="6" t="inlineStr">
        <is>
          <t>1729430000503065200</t>
        </is>
      </c>
      <c r="E68" s="4" t="inlineStr">
        <is>
          <t>—</t>
        </is>
      </c>
      <c r="F68" s="5" t="inlineStr">
        <is>
          <t>Sachet/Box</t>
        </is>
      </c>
      <c r="G68" s="7" t="n">
        <v>50586</v>
      </c>
      <c r="H68" s="7">
        <f>IF(OR($E68="—",$G68="—"),"—",ROUND($G68/$E68,0))</f>
        <v/>
      </c>
      <c r="I68" s="8" t="n">
        <v>101172</v>
      </c>
      <c r="J68" s="7" t="n">
        <v>2</v>
      </c>
      <c r="K68" s="5" t="inlineStr">
        <is>
          <t>Hojicha</t>
        </is>
      </c>
      <c r="L68" s="5" t="inlineStr">
        <is>
          <t>—</t>
        </is>
      </c>
      <c r="M68" s="4" t="inlineStr">
        <is>
          <t>—</t>
        </is>
      </c>
    </row>
    <row r="69">
      <c r="A69" s="4" t="n">
        <v>65</v>
      </c>
      <c r="B69" s="5" t="inlineStr">
        <is>
          <t>Matchamu</t>
        </is>
      </c>
      <c r="C69" s="5" t="inlineStr">
        <is>
          <t>Matchamu Sencha Loose Tea 50gr</t>
        </is>
      </c>
      <c r="D69" s="6" t="inlineStr">
        <is>
          <t>1730348027602306672</t>
        </is>
      </c>
      <c r="E69" s="4" t="n">
        <v>50</v>
      </c>
      <c r="F69" s="5" t="inlineStr">
        <is>
          <t>Tidak tertera</t>
        </is>
      </c>
      <c r="G69" s="7" t="n">
        <v>37120</v>
      </c>
      <c r="H69" s="7">
        <f>IF(OR($E69="—",$G69="—"),"—",ROUND($G69/$E69,0))</f>
        <v/>
      </c>
      <c r="I69" s="8" t="n">
        <v>74241</v>
      </c>
      <c r="J69" s="7" t="n">
        <v>2</v>
      </c>
      <c r="K69" s="5" t="inlineStr">
        <is>
          <t>Sencha (green tea)</t>
        </is>
      </c>
      <c r="L69" s="5" t="inlineStr">
        <is>
          <t>—</t>
        </is>
      </c>
      <c r="M69" s="4" t="inlineStr">
        <is>
          <t>—</t>
        </is>
      </c>
    </row>
    <row r="70">
      <c r="A70" s="4" t="n">
        <v>66</v>
      </c>
      <c r="B70" s="5" t="inlineStr">
        <is>
          <t>Matchamu</t>
        </is>
      </c>
      <c r="C70" s="5" t="inlineStr">
        <is>
          <t>Matchamu 3 box/ 9 sachet Black Sesame Latte</t>
        </is>
      </c>
      <c r="D70" s="6" t="inlineStr">
        <is>
          <t>1729430001110714992</t>
        </is>
      </c>
      <c r="E70" s="4" t="inlineStr">
        <is>
          <t>—</t>
        </is>
      </c>
      <c r="F70" s="5" t="inlineStr">
        <is>
          <t>Sachet/Box</t>
        </is>
      </c>
      <c r="G70" s="7" t="n">
        <v>48874</v>
      </c>
      <c r="H70" s="7">
        <f>IF(OR($E70="—",$G70="—"),"—",ROUND($G70/$E70,0))</f>
        <v/>
      </c>
      <c r="I70" s="8" t="n">
        <v>48874</v>
      </c>
      <c r="J70" s="7" t="n">
        <v>1</v>
      </c>
      <c r="K70" s="5" t="inlineStr">
        <is>
          <t>Black Sesame</t>
        </is>
      </c>
      <c r="L70" s="5" t="inlineStr">
        <is>
          <t>—</t>
        </is>
      </c>
      <c r="M70" s="4" t="inlineStr">
        <is>
          <t>—</t>
        </is>
      </c>
    </row>
    <row r="71">
      <c r="A71" s="4" t="n">
        <v>67</v>
      </c>
      <c r="B71" s="5" t="inlineStr">
        <is>
          <t>Matchamu</t>
        </is>
      </c>
      <c r="C71" s="5" t="inlineStr">
        <is>
          <t>Matchamu Hojicha Latte Powder 250gr</t>
        </is>
      </c>
      <c r="D71" s="6" t="inlineStr">
        <is>
          <t>1730348035561981552</t>
        </is>
      </c>
      <c r="E71" s="4" t="n">
        <v>250</v>
      </c>
      <c r="F71" s="5" t="inlineStr">
        <is>
          <t>Tidak tertera</t>
        </is>
      </c>
      <c r="G71" s="7" t="n">
        <v>41142</v>
      </c>
      <c r="H71" s="7">
        <f>IF(OR($E71="—",$G71="—"),"—",ROUND($G71/$E71,0))</f>
        <v/>
      </c>
      <c r="I71" s="8" t="n">
        <v>41142</v>
      </c>
      <c r="J71" s="7" t="n">
        <v>1</v>
      </c>
      <c r="K71" s="5" t="inlineStr">
        <is>
          <t>Hojicha</t>
        </is>
      </c>
      <c r="L71" s="5" t="inlineStr">
        <is>
          <t>—</t>
        </is>
      </c>
      <c r="M71" s="4" t="inlineStr">
        <is>
          <t>—</t>
        </is>
      </c>
    </row>
    <row r="72">
      <c r="A72" s="4" t="n">
        <v>68</v>
      </c>
      <c r="B72" s="5" t="inlineStr">
        <is>
          <t>Matchamu</t>
        </is>
      </c>
      <c r="C72" s="5" t="inlineStr">
        <is>
          <t>Matchamu 3 box/ 9 sachet Kinako latte</t>
        </is>
      </c>
      <c r="D72" s="6" t="inlineStr">
        <is>
          <t>1729430000690891376</t>
        </is>
      </c>
      <c r="E72" s="4" t="inlineStr">
        <is>
          <t>—</t>
        </is>
      </c>
      <c r="F72" s="5" t="inlineStr">
        <is>
          <t>Sachet/Box</t>
        </is>
      </c>
      <c r="G72" s="7" t="n">
        <v>34098</v>
      </c>
      <c r="H72" s="7">
        <f>IF(OR($E72="—",$G72="—"),"—",ROUND($G72/$E72,0))</f>
        <v/>
      </c>
      <c r="I72" s="8" t="n">
        <v>34098</v>
      </c>
      <c r="J72" s="7" t="n">
        <v>1</v>
      </c>
      <c r="K72" s="5" t="inlineStr">
        <is>
          <t>Kinako</t>
        </is>
      </c>
      <c r="L72" s="5" t="inlineStr">
        <is>
          <t>—</t>
        </is>
      </c>
      <c r="M72" s="4" t="inlineStr">
        <is>
          <t>—</t>
        </is>
      </c>
    </row>
    <row r="73">
      <c r="A73" s="4" t="n">
        <v>69</v>
      </c>
      <c r="B73" s="5" t="inlineStr">
        <is>
          <t>Matchamu</t>
        </is>
      </c>
      <c r="C73" s="5" t="inlineStr">
        <is>
          <t>Matchamu Genmaicha Matcha Iri 50gr</t>
        </is>
      </c>
      <c r="D73" s="6" t="inlineStr">
        <is>
          <t>1730348036262495856</t>
        </is>
      </c>
      <c r="E73" s="4" t="n">
        <v>50</v>
      </c>
      <c r="F73" s="5" t="inlineStr">
        <is>
          <t>Tidak tertera</t>
        </is>
      </c>
      <c r="G73" s="7" t="n">
        <v>23632</v>
      </c>
      <c r="H73" s="7">
        <f>IF(OR($E73="—",$G73="—"),"—",ROUND($G73/$E73,0))</f>
        <v/>
      </c>
      <c r="I73" s="8" t="n">
        <v>23632</v>
      </c>
      <c r="J73" s="7" t="n">
        <v>1</v>
      </c>
      <c r="K73" s="5" t="inlineStr">
        <is>
          <t>Genmaicha (matcha iri)</t>
        </is>
      </c>
      <c r="L73" s="5" t="inlineStr">
        <is>
          <t>—</t>
        </is>
      </c>
      <c r="M73" s="4" t="inlineStr">
        <is>
          <t>—</t>
        </is>
      </c>
    </row>
    <row r="74">
      <c r="A74" s="4" t="n">
        <v>70</v>
      </c>
      <c r="B74" s="5" t="inlineStr">
        <is>
          <t>Matchamu</t>
        </is>
      </c>
      <c r="C74" s="5" t="inlineStr">
        <is>
          <t>Matchamu Hojicha Powder 1Kg</t>
        </is>
      </c>
      <c r="D74" s="6" t="inlineStr">
        <is>
          <t>1730348029153609328</t>
        </is>
      </c>
      <c r="E74" s="4" t="n">
        <v>1000</v>
      </c>
      <c r="F74" s="5" t="inlineStr">
        <is>
          <t>Tidak tertera</t>
        </is>
      </c>
      <c r="G74" s="7" t="inlineStr">
        <is>
          <t>—</t>
        </is>
      </c>
      <c r="H74" s="7">
        <f>IF(OR($E74="—",$G74="—"),"—",ROUND($G74/$E74,0))</f>
        <v/>
      </c>
      <c r="I74" s="8" t="n">
        <v>0</v>
      </c>
      <c r="J74" s="7" t="n">
        <v>0</v>
      </c>
      <c r="K74" s="5" t="inlineStr">
        <is>
          <t>Hojicha</t>
        </is>
      </c>
      <c r="L74" s="5" t="inlineStr">
        <is>
          <t>—</t>
        </is>
      </c>
      <c r="M74" s="4" t="inlineStr">
        <is>
          <t>—</t>
        </is>
      </c>
    </row>
    <row r="75">
      <c r="A75" s="4" t="n">
        <v>71</v>
      </c>
      <c r="B75" s="5" t="inlineStr">
        <is>
          <t>Matchamu</t>
        </is>
      </c>
      <c r="C75" s="5" t="inlineStr">
        <is>
          <t>Matchamu Hojicha Latte Powder 1Kg</t>
        </is>
      </c>
      <c r="D75" s="6" t="inlineStr">
        <is>
          <t>1730348029154657904</t>
        </is>
      </c>
      <c r="E75" s="4" t="n">
        <v>1000</v>
      </c>
      <c r="F75" s="5" t="inlineStr">
        <is>
          <t>Tidak tertera</t>
        </is>
      </c>
      <c r="G75" s="7" t="inlineStr">
        <is>
          <t>—</t>
        </is>
      </c>
      <c r="H75" s="7">
        <f>IF(OR($E75="—",$G75="—"),"—",ROUND($G75/$E75,0))</f>
        <v/>
      </c>
      <c r="I75" s="8" t="n">
        <v>0</v>
      </c>
      <c r="J75" s="7" t="n">
        <v>0</v>
      </c>
      <c r="K75" s="5" t="inlineStr">
        <is>
          <t>Hojicha</t>
        </is>
      </c>
      <c r="L75" s="5" t="inlineStr">
        <is>
          <t>—</t>
        </is>
      </c>
      <c r="M75" s="4" t="inlineStr">
        <is>
          <t>—</t>
        </is>
      </c>
    </row>
    <row r="76">
      <c r="A76" s="4" t="n">
        <v>72</v>
      </c>
      <c r="B76" s="5" t="inlineStr">
        <is>
          <t>Matchamu</t>
        </is>
      </c>
      <c r="C76" s="5" t="inlineStr">
        <is>
          <t>Matchamu Chai Latte 1000gr</t>
        </is>
      </c>
      <c r="D76" s="6" t="inlineStr">
        <is>
          <t>1730348035580135024</t>
        </is>
      </c>
      <c r="E76" s="4" t="n">
        <v>1000</v>
      </c>
      <c r="F76" s="5" t="inlineStr">
        <is>
          <t>Tidak tertera</t>
        </is>
      </c>
      <c r="G76" s="7" t="inlineStr">
        <is>
          <t>—</t>
        </is>
      </c>
      <c r="H76" s="7">
        <f>IF(OR($E76="—",$G76="—"),"—",ROUND($G76/$E76,0))</f>
        <v/>
      </c>
      <c r="I76" s="8" t="n">
        <v>0</v>
      </c>
      <c r="J76" s="7" t="n">
        <v>0</v>
      </c>
      <c r="K76" s="5" t="inlineStr">
        <is>
          <t>Chai</t>
        </is>
      </c>
      <c r="L76" s="5" t="inlineStr">
        <is>
          <t>—</t>
        </is>
      </c>
      <c r="M76" s="4" t="inlineStr">
        <is>
          <t>—</t>
        </is>
      </c>
    </row>
    <row r="77">
      <c r="A77" s="4" t="n">
        <v>73</v>
      </c>
      <c r="B77" s="5" t="inlineStr">
        <is>
          <t>Matchamu</t>
        </is>
      </c>
      <c r="C77" s="5" t="inlineStr">
        <is>
          <t>Matchamu Genmaicha Matcha Iri 100gr</t>
        </is>
      </c>
      <c r="D77" s="6" t="inlineStr">
        <is>
          <t>1730348037311858288</t>
        </is>
      </c>
      <c r="E77" s="4" t="n">
        <v>100</v>
      </c>
      <c r="F77" s="5" t="inlineStr">
        <is>
          <t>Tidak tertera</t>
        </is>
      </c>
      <c r="G77" s="7" t="inlineStr">
        <is>
          <t>—</t>
        </is>
      </c>
      <c r="H77" s="7">
        <f>IF(OR($E77="—",$G77="—"),"—",ROUND($G77/$E77,0))</f>
        <v/>
      </c>
      <c r="I77" s="8" t="n">
        <v>0</v>
      </c>
      <c r="J77" s="7" t="n">
        <v>0</v>
      </c>
      <c r="K77" s="5" t="inlineStr">
        <is>
          <t>Genmaicha (matcha iri)</t>
        </is>
      </c>
      <c r="L77" s="5" t="inlineStr">
        <is>
          <t>—</t>
        </is>
      </c>
      <c r="M77" s="4" t="inlineStr">
        <is>
          <t>—</t>
        </is>
      </c>
    </row>
    <row r="78">
      <c r="A78" s="4" t="n">
        <v>74</v>
      </c>
      <c r="B78" s="5" t="inlineStr">
        <is>
          <t>Matchamu</t>
        </is>
      </c>
      <c r="C78" s="5" t="inlineStr">
        <is>
          <t>Matchamu Sencha Loose Tea 100gr</t>
        </is>
      </c>
      <c r="D78" s="6" t="inlineStr">
        <is>
          <t>1730348040206059120</t>
        </is>
      </c>
      <c r="E78" s="4" t="n">
        <v>100</v>
      </c>
      <c r="F78" s="5" t="inlineStr">
        <is>
          <t>Tidak tertera</t>
        </is>
      </c>
      <c r="G78" s="7" t="inlineStr">
        <is>
          <t>—</t>
        </is>
      </c>
      <c r="H78" s="7">
        <f>IF(OR($E78="—",$G78="—"),"—",ROUND($G78/$E78,0))</f>
        <v/>
      </c>
      <c r="I78" s="8" t="n">
        <v>0</v>
      </c>
      <c r="J78" s="7" t="n">
        <v>0</v>
      </c>
      <c r="K78" s="5" t="inlineStr">
        <is>
          <t>Sencha (green tea)</t>
        </is>
      </c>
      <c r="L78" s="5" t="inlineStr">
        <is>
          <t>—</t>
        </is>
      </c>
      <c r="M78" s="4" t="inlineStr">
        <is>
          <t>—</t>
        </is>
      </c>
    </row>
    <row r="79">
      <c r="A79" s="4" t="n">
        <v>75</v>
      </c>
      <c r="B79" s="5" t="inlineStr">
        <is>
          <t>Matchamu</t>
        </is>
      </c>
      <c r="C79" s="5" t="inlineStr">
        <is>
          <t>Matchamu Bundle Matcha Kana Ceremonial 100gr + Matcha Komorebi 100gr</t>
        </is>
      </c>
      <c r="D79" s="6" t="inlineStr">
        <is>
          <t>1734979558282724976</t>
        </is>
      </c>
      <c r="E79" s="4" t="n">
        <v>100</v>
      </c>
      <c r="F79" s="5" t="inlineStr">
        <is>
          <t>Tidak tertera</t>
        </is>
      </c>
      <c r="G79" s="7" t="inlineStr">
        <is>
          <t>—</t>
        </is>
      </c>
      <c r="H79" s="7">
        <f>IF(OR($E79="—",$G79="—"),"—",ROUND($G79/$E79,0))</f>
        <v/>
      </c>
      <c r="I79" s="8" t="n">
        <v>0</v>
      </c>
      <c r="J79" s="7" t="n">
        <v>0</v>
      </c>
      <c r="K79" s="5" t="inlineStr">
        <is>
          <t>Matcha</t>
        </is>
      </c>
      <c r="L79" s="5" t="inlineStr">
        <is>
          <t>Ceremonial</t>
        </is>
      </c>
      <c r="M79" s="9" t="n">
        <v>1</v>
      </c>
    </row>
    <row r="80">
      <c r="A80" s="13" t="n"/>
      <c r="B80" s="14" t="inlineStr">
        <is>
          <t>TOTAL</t>
        </is>
      </c>
      <c r="C80" s="13" t="n"/>
      <c r="D80" s="13" t="n"/>
      <c r="E80" s="13" t="n"/>
      <c r="F80" s="13" t="n"/>
      <c r="G80" s="13" t="n"/>
      <c r="H80" s="13" t="n"/>
      <c r="I80" s="15">
        <f>SUM(I5:I79)</f>
        <v/>
      </c>
      <c r="J80" s="15">
        <f>SUM(J5:J79)</f>
        <v/>
      </c>
      <c r="K80" s="13" t="n"/>
      <c r="L80" s="13" t="n"/>
      <c r="M80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Bitenza — Semua Produk (TikTok Shop ID, 30 hari terakhir)</t>
        </is>
      </c>
    </row>
    <row r="2">
      <c r="A2" s="2" t="inlineStr">
        <is>
          <t>Total SKU: 4 | Sumber: Kalodata | Diambil 20 Jul 2026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Bitenza</t>
        </is>
      </c>
      <c r="C5" s="5" t="inlineStr">
        <is>
          <t>Bitenza - 100% Pure Matcha 50gr</t>
        </is>
      </c>
      <c r="D5" s="6" t="inlineStr">
        <is>
          <t>1731922730066740485</t>
        </is>
      </c>
      <c r="E5" s="4" t="n">
        <v>50</v>
      </c>
      <c r="F5" s="5" t="inlineStr">
        <is>
          <t>Tidak tertera</t>
        </is>
      </c>
      <c r="G5" s="7" t="n">
        <v>84063</v>
      </c>
      <c r="H5" s="7">
        <f>IF(OR($E5="—",$G5="—"),"—",ROUND($G5/$E5,0))</f>
        <v/>
      </c>
      <c r="I5" s="8" t="n">
        <v>1022645081</v>
      </c>
      <c r="J5" s="7" t="n">
        <v>12204</v>
      </c>
      <c r="K5" s="5" t="inlineStr">
        <is>
          <t>Matcha</t>
        </is>
      </c>
      <c r="L5" s="5" t="inlineStr">
        <is>
          <t>Grade tidak disebut</t>
        </is>
      </c>
      <c r="M5" s="10" t="n">
        <v>4</v>
      </c>
    </row>
    <row r="6">
      <c r="A6" s="4" t="n">
        <v>2</v>
      </c>
      <c r="B6" s="5" t="inlineStr">
        <is>
          <t>Bitenza</t>
        </is>
      </c>
      <c r="C6" s="5" t="inlineStr">
        <is>
          <t>[2pcs - Pure Matcha Bitenza BUNDLING \[Official Store\]](https://www.kalodata.com/product/detail?id=1734061296383984901&amp;language=id-ID&amp;currency=IDR&amp;region=ID)</t>
        </is>
      </c>
      <c r="D6" s="6" t="inlineStr">
        <is>
          <t>1734061296383984901</t>
        </is>
      </c>
      <c r="E6" s="4" t="inlineStr">
        <is>
          <t>—</t>
        </is>
      </c>
      <c r="F6" s="5" t="inlineStr">
        <is>
          <t>Tidak tertera</t>
        </is>
      </c>
      <c r="G6" s="7" t="n">
        <v>178473</v>
      </c>
      <c r="H6" s="7">
        <f>IF(OR($E6="—",$G6="—"),"—",ROUND($G6/$E6,0))</f>
        <v/>
      </c>
      <c r="I6" s="8" t="n">
        <v>97087135</v>
      </c>
      <c r="J6" s="7" t="n">
        <v>476</v>
      </c>
      <c r="K6" s="5" t="inlineStr">
        <is>
          <t>Matcha</t>
        </is>
      </c>
      <c r="L6" s="5" t="inlineStr">
        <is>
          <t>Grade tidak disebut</t>
        </is>
      </c>
      <c r="M6" s="10" t="n">
        <v>4</v>
      </c>
    </row>
    <row r="7">
      <c r="A7" s="4" t="n">
        <v>3</v>
      </c>
      <c r="B7" s="5" t="inlineStr">
        <is>
          <t>Bitenza</t>
        </is>
      </c>
      <c r="C7" s="5" t="inlineStr">
        <is>
          <t>[3pcs - Pure Matcha Bitenza BUNDLING \[Official Store\]](https://www.kalodata.com/product/detail?id=1734061301418591493&amp;language=id-ID&amp;currency=IDR&amp;region=ID)</t>
        </is>
      </c>
      <c r="D7" s="6" t="inlineStr">
        <is>
          <t>1734061301418591493</t>
        </is>
      </c>
      <c r="E7" s="4" t="inlineStr">
        <is>
          <t>—</t>
        </is>
      </c>
      <c r="F7" s="5" t="inlineStr">
        <is>
          <t>Tidak tertera</t>
        </is>
      </c>
      <c r="G7" s="7" t="n">
        <v>314958</v>
      </c>
      <c r="H7" s="7">
        <f>IF(OR($E7="—",$G7="—"),"—",ROUND($G7/$E7,0))</f>
        <v/>
      </c>
      <c r="I7" s="8" t="n">
        <v>27234585</v>
      </c>
      <c r="J7" s="7" t="n">
        <v>87</v>
      </c>
      <c r="K7" s="5" t="inlineStr">
        <is>
          <t>Matcha</t>
        </is>
      </c>
      <c r="L7" s="5" t="inlineStr">
        <is>
          <t>Grade tidak disebut</t>
        </is>
      </c>
      <c r="M7" s="10" t="n">
        <v>4</v>
      </c>
    </row>
    <row r="8">
      <c r="A8" s="4" t="n">
        <v>4</v>
      </c>
      <c r="B8" s="5" t="inlineStr">
        <is>
          <t>Bitenza</t>
        </is>
      </c>
      <c r="C8" s="5" t="inlineStr">
        <is>
          <t>[\[Official Store\] Bitenza - 100% Pure Matcha 50gr](https://www.kalodata.com/product/detail?id=1736426647049700613&amp;language=id-ID&amp;currency=IDR&amp;region=ID)</t>
        </is>
      </c>
      <c r="D8" s="6" t="inlineStr">
        <is>
          <t>1736426647049700613</t>
        </is>
      </c>
      <c r="E8" s="4" t="n">
        <v>50</v>
      </c>
      <c r="F8" s="5" t="inlineStr">
        <is>
          <t>Tidak tertera</t>
        </is>
      </c>
      <c r="G8" s="7" t="n">
        <v>89662</v>
      </c>
      <c r="H8" s="7">
        <f>IF(OR($E8="—",$G8="—"),"—",ROUND($G8/$E8,0))</f>
        <v/>
      </c>
      <c r="I8" s="8" t="n">
        <v>1498728</v>
      </c>
      <c r="J8" s="7" t="n">
        <v>17</v>
      </c>
      <c r="K8" s="5" t="inlineStr">
        <is>
          <t>Matcha</t>
        </is>
      </c>
      <c r="L8" s="5" t="inlineStr">
        <is>
          <t>Grade tidak disebut</t>
        </is>
      </c>
      <c r="M8" s="10" t="n">
        <v>4</v>
      </c>
    </row>
    <row r="9">
      <c r="A9" s="13" t="n"/>
      <c r="B9" s="14" t="inlineStr">
        <is>
          <t>TOTAL</t>
        </is>
      </c>
      <c r="C9" s="13" t="n"/>
      <c r="D9" s="13" t="n"/>
      <c r="E9" s="13" t="n"/>
      <c r="F9" s="13" t="n"/>
      <c r="G9" s="13" t="n"/>
      <c r="H9" s="13" t="n"/>
      <c r="I9" s="15">
        <f>SUM(I5:I8)</f>
        <v/>
      </c>
      <c r="J9" s="15">
        <f>SUM(J5:J8)</f>
        <v/>
      </c>
      <c r="K9" s="13" t="n"/>
      <c r="L9" s="13" t="n"/>
      <c r="M9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PIKULABS — Semua Produk (TikTok Shop ID, 30 hari terakhir)</t>
        </is>
      </c>
    </row>
    <row r="2">
      <c r="A2" s="2" t="inlineStr">
        <is>
          <t>Total SKU: 4 | Sumber: Kalodata | Diambil 20 Jul 2026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PIKULABS</t>
        </is>
      </c>
      <c r="C5" s="5" t="inlineStr">
        <is>
          <t>[OFFICIAL STORE] PikuLabs Pure Matcha Powder 100gr \ | 100% Pure, No Additives</t>
        </is>
      </c>
      <c r="D5" s="6" t="inlineStr">
        <is>
          <t>1731289280380176268</t>
        </is>
      </c>
      <c r="E5" s="4" t="n">
        <v>100</v>
      </c>
      <c r="F5" s="5" t="inlineStr">
        <is>
          <t>Tidak tertera</t>
        </is>
      </c>
      <c r="G5" s="7" t="n">
        <v>98047</v>
      </c>
      <c r="H5" s="7">
        <f>IF(OR($E5="—",$G5="—"),"—",ROUND($G5/$E5,0))</f>
        <v/>
      </c>
      <c r="I5" s="8" t="n">
        <v>1404725633</v>
      </c>
      <c r="J5" s="7" t="n">
        <v>14327</v>
      </c>
      <c r="K5" s="5" t="inlineStr">
        <is>
          <t>Matcha</t>
        </is>
      </c>
      <c r="L5" s="5" t="inlineStr">
        <is>
          <t>Grade tidak disebut</t>
        </is>
      </c>
      <c r="M5" s="10" t="n">
        <v>4</v>
      </c>
    </row>
    <row r="6">
      <c r="A6" s="4" t="n">
        <v>2</v>
      </c>
      <c r="B6" s="5" t="inlineStr">
        <is>
          <t>PIKULABS</t>
        </is>
      </c>
      <c r="C6" s="5" t="inlineStr">
        <is>
          <t>[OFFICIAL STORE] PIKULABS - Pure Matcha</t>
        </is>
      </c>
      <c r="D6" s="6" t="inlineStr">
        <is>
          <t>1735516783355725708</t>
        </is>
      </c>
      <c r="E6" s="4" t="inlineStr">
        <is>
          <t>—</t>
        </is>
      </c>
      <c r="F6" s="5" t="inlineStr">
        <is>
          <t>Tidak tertera</t>
        </is>
      </c>
      <c r="G6" s="7" t="n">
        <v>105184</v>
      </c>
      <c r="H6" s="7">
        <f>IF(OR($E6="—",$G6="—"),"—",ROUND($G6/$E6,0))</f>
        <v/>
      </c>
      <c r="I6" s="8" t="n">
        <v>202374140</v>
      </c>
      <c r="J6" s="7" t="n">
        <v>1924</v>
      </c>
      <c r="K6" s="5" t="inlineStr">
        <is>
          <t>Matcha</t>
        </is>
      </c>
      <c r="L6" s="5" t="inlineStr">
        <is>
          <t>Grade tidak disebut</t>
        </is>
      </c>
      <c r="M6" s="10" t="n">
        <v>4</v>
      </c>
    </row>
    <row r="7">
      <c r="A7" s="4" t="n">
        <v>3</v>
      </c>
      <c r="B7" s="5" t="inlineStr">
        <is>
          <t>PIKULABS</t>
        </is>
      </c>
      <c r="C7" s="5" t="inlineStr">
        <is>
          <t>[2pcs] PIKULABS - Pure Matcha [Official Store]</t>
        </is>
      </c>
      <c r="D7" s="6" t="inlineStr">
        <is>
          <t>1733483332828956556</t>
        </is>
      </c>
      <c r="E7" s="4" t="inlineStr">
        <is>
          <t>—</t>
        </is>
      </c>
      <c r="F7" s="5" t="inlineStr">
        <is>
          <t>Tidak tertera</t>
        </is>
      </c>
      <c r="G7" s="7" t="n">
        <v>223205</v>
      </c>
      <c r="H7" s="7">
        <f>IF(OR($E7="—",$G7="—"),"—",ROUND($G7/$E7,0))</f>
        <v/>
      </c>
      <c r="I7" s="8" t="n">
        <v>120084458</v>
      </c>
      <c r="J7" s="7" t="n">
        <v>538</v>
      </c>
      <c r="K7" s="5" t="inlineStr">
        <is>
          <t>Matcha</t>
        </is>
      </c>
      <c r="L7" s="5" t="inlineStr">
        <is>
          <t>Grade tidak disebut</t>
        </is>
      </c>
      <c r="M7" s="10" t="n">
        <v>4</v>
      </c>
    </row>
    <row r="8">
      <c r="A8" s="4" t="n">
        <v>4</v>
      </c>
      <c r="B8" s="5" t="inlineStr">
        <is>
          <t>PIKULABS</t>
        </is>
      </c>
      <c r="C8" s="5" t="inlineStr">
        <is>
          <t>[3pcs] PIKULABS - Pure Matcha [Official Store]</t>
        </is>
      </c>
      <c r="D8" s="6" t="inlineStr">
        <is>
          <t>1733483291378747276</t>
        </is>
      </c>
      <c r="E8" s="4" t="inlineStr">
        <is>
          <t>—</t>
        </is>
      </c>
      <c r="F8" s="5" t="inlineStr">
        <is>
          <t>Tidak tertera</t>
        </is>
      </c>
      <c r="G8" s="7" t="n">
        <v>345602</v>
      </c>
      <c r="H8" s="7">
        <f>IF(OR($E8="—",$G8="—"),"—",ROUND($G8/$E8,0))</f>
        <v/>
      </c>
      <c r="I8" s="8" t="n">
        <v>43891464</v>
      </c>
      <c r="J8" s="7" t="n">
        <v>127</v>
      </c>
      <c r="K8" s="5" t="inlineStr">
        <is>
          <t>Matcha</t>
        </is>
      </c>
      <c r="L8" s="5" t="inlineStr">
        <is>
          <t>Grade tidak disebut</t>
        </is>
      </c>
      <c r="M8" s="10" t="n">
        <v>4</v>
      </c>
    </row>
    <row r="9">
      <c r="A9" s="13" t="n"/>
      <c r="B9" s="14" t="inlineStr">
        <is>
          <t>TOTAL</t>
        </is>
      </c>
      <c r="C9" s="13" t="n"/>
      <c r="D9" s="13" t="n"/>
      <c r="E9" s="13" t="n"/>
      <c r="F9" s="13" t="n"/>
      <c r="G9" s="13" t="n"/>
      <c r="H9" s="13" t="n"/>
      <c r="I9" s="15">
        <f>SUM(I5:I8)</f>
        <v/>
      </c>
      <c r="J9" s="15">
        <f>SUM(J5:J8)</f>
        <v/>
      </c>
      <c r="K9" s="13" t="n"/>
      <c r="L9" s="13" t="n"/>
      <c r="M9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Homelab — Semua Produk (TikTok Shop ID, 30 hari terakhir)</t>
        </is>
      </c>
    </row>
    <row r="2">
      <c r="A2" s="2" t="inlineStr">
        <is>
          <t>Total SKU: 80 | Sumber: Kalodata | Diambil 20 Jul 2026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Homelab</t>
        </is>
      </c>
      <c r="C5" s="5" t="inlineStr">
        <is>
          <t>100% PURE UJI MATCHA Japan - Bubuk Matcha Premium Grade - 1KG</t>
        </is>
      </c>
      <c r="D5" s="6" t="inlineStr">
        <is>
          <t>1730557013401765444</t>
        </is>
      </c>
      <c r="E5" s="4" t="n">
        <v>1000</v>
      </c>
      <c r="F5" s="5" t="inlineStr">
        <is>
          <t>Tidak tertera</t>
        </is>
      </c>
      <c r="G5" s="7" t="n">
        <v>1494879</v>
      </c>
      <c r="H5" s="7">
        <f>IF(OR($E5="—",$G5="—"),"—",ROUND($G5/$E5,0))</f>
        <v/>
      </c>
      <c r="I5" s="8" t="n">
        <v>92682512</v>
      </c>
      <c r="J5" s="7" t="n">
        <v>62</v>
      </c>
      <c r="K5" s="5" t="inlineStr">
        <is>
          <t>Matcha</t>
        </is>
      </c>
      <c r="L5" s="5" t="inlineStr">
        <is>
          <t>Premium</t>
        </is>
      </c>
      <c r="M5" s="12" t="n">
        <v>2</v>
      </c>
    </row>
    <row r="6">
      <c r="A6" s="4" t="n">
        <v>2</v>
      </c>
      <c r="B6" s="5" t="inlineStr">
        <is>
          <t>Homelab</t>
        </is>
      </c>
      <c r="C6" s="5" t="inlineStr">
        <is>
          <t>Homelab Pure Uji Matcha Japan - Bubuk Pure Matcha 200 Gram</t>
        </is>
      </c>
      <c r="D6" s="6" t="inlineStr">
        <is>
          <t>1729667276441553476</t>
        </is>
      </c>
      <c r="E6" s="4" t="n">
        <v>200</v>
      </c>
      <c r="F6" s="5" t="inlineStr">
        <is>
          <t>Tidak tertera</t>
        </is>
      </c>
      <c r="G6" s="7" t="n">
        <v>269363</v>
      </c>
      <c r="H6" s="7">
        <f>IF(OR($E6="—",$G6="—"),"—",ROUND($G6/$E6,0))</f>
        <v/>
      </c>
      <c r="I6" s="8" t="n">
        <v>78654079</v>
      </c>
      <c r="J6" s="7" t="n">
        <v>292</v>
      </c>
      <c r="K6" s="5" t="inlineStr">
        <is>
          <t>Matcha</t>
        </is>
      </c>
      <c r="L6" s="5" t="inlineStr">
        <is>
          <t>Grade tidak disebut</t>
        </is>
      </c>
      <c r="M6" s="10" t="n">
        <v>4</v>
      </c>
    </row>
    <row r="7">
      <c r="A7" s="4" t="n">
        <v>3</v>
      </c>
      <c r="B7" s="5" t="inlineStr">
        <is>
          <t>Homelab</t>
        </is>
      </c>
      <c r="C7" s="5" t="inlineStr">
        <is>
          <t>Homelab Pure Uji Matcha Japan - Bubuk Pure Matcha</t>
        </is>
      </c>
      <c r="D7" s="6" t="inlineStr">
        <is>
          <t>1729615319056288324</t>
        </is>
      </c>
      <c r="E7" s="4" t="inlineStr">
        <is>
          <t>—</t>
        </is>
      </c>
      <c r="F7" s="5" t="inlineStr">
        <is>
          <t>Tidak tertera</t>
        </is>
      </c>
      <c r="G7" s="7" t="n">
        <v>128867</v>
      </c>
      <c r="H7" s="7">
        <f>IF(OR($E7="—",$G7="—"),"—",ROUND($G7/$E7,0))</f>
        <v/>
      </c>
      <c r="I7" s="8" t="n">
        <v>47680737</v>
      </c>
      <c r="J7" s="7" t="n">
        <v>370</v>
      </c>
      <c r="K7" s="5" t="inlineStr">
        <is>
          <t>Matcha</t>
        </is>
      </c>
      <c r="L7" s="5" t="inlineStr">
        <is>
          <t>Grade tidak disebut</t>
        </is>
      </c>
      <c r="M7" s="10" t="n">
        <v>4</v>
      </c>
    </row>
    <row r="8">
      <c r="A8" s="4" t="n">
        <v>4</v>
      </c>
      <c r="B8" s="5" t="inlineStr">
        <is>
          <t>Homelab</t>
        </is>
      </c>
      <c r="C8" s="5" t="inlineStr">
        <is>
          <t>Bubuk Coklat / Chocolate Powder Premium Grade - 1kg</t>
        </is>
      </c>
      <c r="D8" s="6" t="inlineStr">
        <is>
          <t>1730557017317082692</t>
        </is>
      </c>
      <c r="E8" s="4" t="n">
        <v>1000</v>
      </c>
      <c r="F8" s="5" t="inlineStr">
        <is>
          <t>Tidak tertera</t>
        </is>
      </c>
      <c r="G8" s="7" t="n">
        <v>382062</v>
      </c>
      <c r="H8" s="7">
        <f>IF(OR($E8="—",$G8="—"),"—",ROUND($G8/$E8,0))</f>
        <v/>
      </c>
      <c r="I8" s="8" t="n">
        <v>35913803</v>
      </c>
      <c r="J8" s="7" t="n">
        <v>94</v>
      </c>
      <c r="K8" s="5" t="inlineStr">
        <is>
          <t>Chocolate</t>
        </is>
      </c>
      <c r="L8" s="5" t="inlineStr">
        <is>
          <t>—</t>
        </is>
      </c>
      <c r="M8" s="4" t="inlineStr">
        <is>
          <t>—</t>
        </is>
      </c>
    </row>
    <row r="9">
      <c r="A9" s="4" t="n">
        <v>5</v>
      </c>
      <c r="B9" s="5" t="inlineStr">
        <is>
          <t>Homelab</t>
        </is>
      </c>
      <c r="C9" s="5" t="inlineStr">
        <is>
          <t>Homelab Bubuk Minuman Matcha Premium / Greentea Matcha Powder - 200 Gr</t>
        </is>
      </c>
      <c r="D9" s="6" t="inlineStr">
        <is>
          <t>1729382763570955844</t>
        </is>
      </c>
      <c r="E9" s="4" t="n">
        <v>200</v>
      </c>
      <c r="F9" s="5" t="inlineStr">
        <is>
          <t>Tidak tertera</t>
        </is>
      </c>
      <c r="G9" s="7" t="n">
        <v>72883</v>
      </c>
      <c r="H9" s="7">
        <f>IF(OR($E9="—",$G9="—"),"—",ROUND($G9/$E9,0))</f>
        <v/>
      </c>
      <c r="I9" s="8" t="n">
        <v>19678287</v>
      </c>
      <c r="J9" s="7" t="n">
        <v>270</v>
      </c>
      <c r="K9" s="5" t="inlineStr">
        <is>
          <t>Matcha</t>
        </is>
      </c>
      <c r="L9" s="5" t="inlineStr">
        <is>
          <t>Premium</t>
        </is>
      </c>
      <c r="M9" s="12" t="n">
        <v>2</v>
      </c>
    </row>
    <row r="10">
      <c r="A10" s="4" t="n">
        <v>6</v>
      </c>
      <c r="B10" s="5" t="inlineStr">
        <is>
          <t>Homelab</t>
        </is>
      </c>
      <c r="C10" s="5" t="inlineStr">
        <is>
          <t>Homelab Bubuk Minuman Matcha Premium / Greentea Matcha Powder - 1 KG</t>
        </is>
      </c>
      <c r="D10" s="6" t="inlineStr">
        <is>
          <t>1729722665112930884</t>
        </is>
      </c>
      <c r="E10" s="4" t="n">
        <v>1000</v>
      </c>
      <c r="F10" s="5" t="inlineStr">
        <is>
          <t>Tidak tertera</t>
        </is>
      </c>
      <c r="G10" s="7" t="n">
        <v>393003</v>
      </c>
      <c r="H10" s="7">
        <f>IF(OR($E10="—",$G10="—"),"—",ROUND($G10/$E10,0))</f>
        <v/>
      </c>
      <c r="I10" s="8" t="n">
        <v>17685157</v>
      </c>
      <c r="J10" s="7" t="n">
        <v>45</v>
      </c>
      <c r="K10" s="5" t="inlineStr">
        <is>
          <t>Matcha</t>
        </is>
      </c>
      <c r="L10" s="5" t="inlineStr">
        <is>
          <t>Premium</t>
        </is>
      </c>
      <c r="M10" s="12" t="n">
        <v>2</v>
      </c>
    </row>
    <row r="11">
      <c r="A11" s="4" t="n">
        <v>7</v>
      </c>
      <c r="B11" s="5" t="inlineStr">
        <is>
          <t>Homelab</t>
        </is>
      </c>
      <c r="C11" s="5" t="inlineStr">
        <is>
          <t>Homelab 100% Pure Matcha 50 gram - Bubuk Matcha Premium Grade 50 gram</t>
        </is>
      </c>
      <c r="D11" s="6" t="inlineStr">
        <is>
          <t>1732044265518564932</t>
        </is>
      </c>
      <c r="E11" s="4" t="n">
        <v>50</v>
      </c>
      <c r="F11" s="5" t="inlineStr">
        <is>
          <t>Tidak tertera</t>
        </is>
      </c>
      <c r="G11" s="7" t="n">
        <v>68425</v>
      </c>
      <c r="H11" s="7">
        <f>IF(OR($E11="—",$G11="—"),"—",ROUND($G11/$E11,0))</f>
        <v/>
      </c>
      <c r="I11" s="8" t="n">
        <v>15532541</v>
      </c>
      <c r="J11" s="7" t="n">
        <v>227</v>
      </c>
      <c r="K11" s="5" t="inlineStr">
        <is>
          <t>Matcha</t>
        </is>
      </c>
      <c r="L11" s="5" t="inlineStr">
        <is>
          <t>Premium</t>
        </is>
      </c>
      <c r="M11" s="12" t="n">
        <v>2</v>
      </c>
    </row>
    <row r="12">
      <c r="A12" s="4" t="n">
        <v>8</v>
      </c>
      <c r="B12" s="5" t="inlineStr">
        <is>
          <t>Homelab</t>
        </is>
      </c>
      <c r="C12" s="5" t="inlineStr">
        <is>
          <t>Homelab Bubuk Minuman Hojicha Premium / Roasted Green Tea Hojicha Powder - 200G</t>
        </is>
      </c>
      <c r="D12" s="6" t="inlineStr">
        <is>
          <t>1729382759767705156</t>
        </is>
      </c>
      <c r="E12" s="4" t="n">
        <v>200</v>
      </c>
      <c r="F12" s="5" t="inlineStr">
        <is>
          <t>Tidak tertera</t>
        </is>
      </c>
      <c r="G12" s="7" t="n">
        <v>117663</v>
      </c>
      <c r="H12" s="7">
        <f>IF(OR($E12="—",$G12="—"),"—",ROUND($G12/$E12,0))</f>
        <v/>
      </c>
      <c r="I12" s="8" t="n">
        <v>14707824</v>
      </c>
      <c r="J12" s="7" t="n">
        <v>125</v>
      </c>
      <c r="K12" s="5" t="inlineStr">
        <is>
          <t>Hojicha</t>
        </is>
      </c>
      <c r="L12" s="5" t="inlineStr">
        <is>
          <t>—</t>
        </is>
      </c>
      <c r="M12" s="4" t="inlineStr">
        <is>
          <t>—</t>
        </is>
      </c>
    </row>
    <row r="13">
      <c r="A13" s="4" t="n">
        <v>9</v>
      </c>
      <c r="B13" s="5" t="inlineStr">
        <is>
          <t>Homelab</t>
        </is>
      </c>
      <c r="C13" s="5" t="inlineStr">
        <is>
          <t>Homelab Yukata 100%  Pure Ceremonial Grade Matcha Powder - Bubuk Minuman Matcha 100g</t>
        </is>
      </c>
      <c r="D13" s="6" t="inlineStr">
        <is>
          <t>1732273297021830724</t>
        </is>
      </c>
      <c r="E13" s="4" t="n">
        <v>100</v>
      </c>
      <c r="F13" s="5" t="inlineStr">
        <is>
          <t>Tidak tertera</t>
        </is>
      </c>
      <c r="G13" s="7" t="n">
        <v>177998</v>
      </c>
      <c r="H13" s="7">
        <f>IF(OR($E13="—",$G13="—"),"—",ROUND($G13/$E13,0))</f>
        <v/>
      </c>
      <c r="I13" s="8" t="n">
        <v>12637887</v>
      </c>
      <c r="J13" s="7" t="n">
        <v>71</v>
      </c>
      <c r="K13" s="5" t="inlineStr">
        <is>
          <t>Matcha</t>
        </is>
      </c>
      <c r="L13" s="5" t="inlineStr">
        <is>
          <t>Ceremonial</t>
        </is>
      </c>
      <c r="M13" s="9" t="n">
        <v>1</v>
      </c>
    </row>
    <row r="14">
      <c r="A14" s="4" t="n">
        <v>10</v>
      </c>
      <c r="B14" s="5" t="inlineStr">
        <is>
          <t>Homelab</t>
        </is>
      </c>
      <c r="C14" s="5" t="inlineStr">
        <is>
          <t>Kontainer + Saringan Bubuk Matcha - Stainless Steel Container + Mesh</t>
        </is>
      </c>
      <c r="D14" s="6" t="inlineStr">
        <is>
          <t>1730557159209535044</t>
        </is>
      </c>
      <c r="E14" s="4" t="inlineStr">
        <is>
          <t>—</t>
        </is>
      </c>
      <c r="F14" s="5" t="inlineStr">
        <is>
          <t>Canister</t>
        </is>
      </c>
      <c r="G14" s="7" t="n">
        <v>225831</v>
      </c>
      <c r="H14" s="7">
        <f>IF(OR($E14="—",$G14="—"),"—",ROUND($G14/$E14,0))</f>
        <v/>
      </c>
      <c r="I14" s="8" t="n">
        <v>4968276</v>
      </c>
      <c r="J14" s="7" t="n">
        <v>22</v>
      </c>
      <c r="K14" s="5" t="inlineStr">
        <is>
          <t>Alat/Aksesori (non-minuman)</t>
        </is>
      </c>
      <c r="L14" s="5" t="inlineStr">
        <is>
          <t>—</t>
        </is>
      </c>
      <c r="M14" s="4" t="inlineStr">
        <is>
          <t>—</t>
        </is>
      </c>
    </row>
    <row r="15">
      <c r="A15" s="4" t="n">
        <v>11</v>
      </c>
      <c r="B15" s="5" t="inlineStr">
        <is>
          <t>Homelab</t>
        </is>
      </c>
      <c r="C15" s="5" t="inlineStr">
        <is>
          <t>Homelab 98% Dark Chocolate Powder / Bubuk Coklat Asli Premium 50 Gr</t>
        </is>
      </c>
      <c r="D15" s="6" t="inlineStr">
        <is>
          <t>1734462236694906436</t>
        </is>
      </c>
      <c r="E15" s="4" t="n">
        <v>50</v>
      </c>
      <c r="F15" s="5" t="inlineStr">
        <is>
          <t>Tidak tertera</t>
        </is>
      </c>
      <c r="G15" s="7" t="n">
        <v>22640</v>
      </c>
      <c r="H15" s="7">
        <f>IF(OR($E15="—",$G15="—"),"—",ROUND($G15/$E15,0))</f>
        <v/>
      </c>
      <c r="I15" s="8" t="n">
        <v>4844932</v>
      </c>
      <c r="J15" s="7" t="n">
        <v>214</v>
      </c>
      <c r="K15" s="5" t="inlineStr">
        <is>
          <t>Chocolate</t>
        </is>
      </c>
      <c r="L15" s="5" t="inlineStr">
        <is>
          <t>—</t>
        </is>
      </c>
      <c r="M15" s="4" t="inlineStr">
        <is>
          <t>—</t>
        </is>
      </c>
    </row>
    <row r="16">
      <c r="A16" s="4" t="n">
        <v>12</v>
      </c>
      <c r="B16" s="5" t="inlineStr">
        <is>
          <t>Homelab</t>
        </is>
      </c>
      <c r="C16" s="5" t="inlineStr">
        <is>
          <t>100% Pure Hojicha - Bubuk Hojicha Premium Grade</t>
        </is>
      </c>
      <c r="D16" s="6" t="inlineStr">
        <is>
          <t>1729387226683770436</t>
        </is>
      </c>
      <c r="E16" s="4" t="inlineStr">
        <is>
          <t>—</t>
        </is>
      </c>
      <c r="F16" s="5" t="inlineStr">
        <is>
          <t>Tidak tertera</t>
        </is>
      </c>
      <c r="G16" s="7" t="n">
        <v>226667</v>
      </c>
      <c r="H16" s="7">
        <f>IF(OR($E16="—",$G16="—"),"—",ROUND($G16/$E16,0))</f>
        <v/>
      </c>
      <c r="I16" s="8" t="n">
        <v>4760012</v>
      </c>
      <c r="J16" s="7" t="n">
        <v>21</v>
      </c>
      <c r="K16" s="5" t="inlineStr">
        <is>
          <t>Hojicha</t>
        </is>
      </c>
      <c r="L16" s="5" t="inlineStr">
        <is>
          <t>—</t>
        </is>
      </c>
      <c r="M16" s="4" t="inlineStr">
        <is>
          <t>—</t>
        </is>
      </c>
    </row>
    <row r="17">
      <c r="A17" s="4" t="n">
        <v>13</v>
      </c>
      <c r="B17" s="5" t="inlineStr">
        <is>
          <t>Homelab</t>
        </is>
      </c>
      <c r="C17" s="5" t="inlineStr">
        <is>
          <t>Homelab Chasen / Matcha Whisk Golden Bamboo with Charm - Pengaduk Teh Matcha Green Tea</t>
        </is>
      </c>
      <c r="D17" s="6" t="inlineStr">
        <is>
          <t>1730557157057398340</t>
        </is>
      </c>
      <c r="E17" s="4" t="inlineStr">
        <is>
          <t>—</t>
        </is>
      </c>
      <c r="F17" s="5" t="inlineStr">
        <is>
          <t>Tidak tertera</t>
        </is>
      </c>
      <c r="G17" s="7" t="n">
        <v>296397</v>
      </c>
      <c r="H17" s="7">
        <f>IF(OR($E17="—",$G17="—"),"—",ROUND($G17/$E17,0))</f>
        <v/>
      </c>
      <c r="I17" s="8" t="n">
        <v>4445954</v>
      </c>
      <c r="J17" s="7" t="n">
        <v>15</v>
      </c>
      <c r="K17" s="5" t="inlineStr">
        <is>
          <t>Alat/Aksesori (non-minuman)</t>
        </is>
      </c>
      <c r="L17" s="5" t="inlineStr">
        <is>
          <t>—</t>
        </is>
      </c>
      <c r="M17" s="4" t="inlineStr">
        <is>
          <t>—</t>
        </is>
      </c>
    </row>
    <row r="18">
      <c r="A18" s="4" t="n">
        <v>14</v>
      </c>
      <c r="B18" s="5" t="inlineStr">
        <is>
          <t>Homelab</t>
        </is>
      </c>
      <c r="C18" s="5" t="inlineStr">
        <is>
          <t>Homelab Matcha Bowl no.7 \ | Mangkuk Matcha Ceremonial Premium</t>
        </is>
      </c>
      <c r="D18" s="6" t="inlineStr">
        <is>
          <t>1734387526276187716</t>
        </is>
      </c>
      <c r="E18" s="4" t="inlineStr">
        <is>
          <t>—</t>
        </is>
      </c>
      <c r="F18" s="5" t="inlineStr">
        <is>
          <t>Tidak tertera</t>
        </is>
      </c>
      <c r="G18" s="7" t="n">
        <v>209661</v>
      </c>
      <c r="H18" s="7">
        <f>IF(OR($E18="—",$G18="—"),"—",ROUND($G18/$E18,0))</f>
        <v/>
      </c>
      <c r="I18" s="8" t="n">
        <v>4402879</v>
      </c>
      <c r="J18" s="7" t="n">
        <v>21</v>
      </c>
      <c r="K18" s="5" t="inlineStr">
        <is>
          <t>Alat/Aksesori (non-minuman)</t>
        </is>
      </c>
      <c r="L18" s="5" t="inlineStr">
        <is>
          <t>—</t>
        </is>
      </c>
      <c r="M18" s="4" t="inlineStr">
        <is>
          <t>—</t>
        </is>
      </c>
    </row>
    <row r="19">
      <c r="A19" s="4" t="n">
        <v>15</v>
      </c>
      <c r="B19" s="5" t="inlineStr">
        <is>
          <t>Homelab</t>
        </is>
      </c>
      <c r="C19" s="5" t="inlineStr">
        <is>
          <t>Homelab Takumi Matcha Ceremony Set \ | Premium Complete Gift Box (Matcha Bowl, Whisk &amp; Holder, Scoop &amp; Holder, Shiter, Towel / Cloth, Box)</t>
        </is>
      </c>
      <c r="D19" s="6" t="inlineStr">
        <is>
          <t>1734645200203187780</t>
        </is>
      </c>
      <c r="E19" s="4" t="inlineStr">
        <is>
          <t>—</t>
        </is>
      </c>
      <c r="F19" s="5" t="inlineStr">
        <is>
          <t>Sachet/Box</t>
        </is>
      </c>
      <c r="G19" s="7" t="n">
        <v>1327945</v>
      </c>
      <c r="H19" s="7">
        <f>IF(OR($E19="—",$G19="—"),"—",ROUND($G19/$E19,0))</f>
        <v/>
      </c>
      <c r="I19" s="8" t="n">
        <v>3983835</v>
      </c>
      <c r="J19" s="7" t="n">
        <v>3</v>
      </c>
      <c r="K19" s="5" t="inlineStr">
        <is>
          <t>Alat/Aksesori (non-minuman)</t>
        </is>
      </c>
      <c r="L19" s="5" t="inlineStr">
        <is>
          <t>—</t>
        </is>
      </c>
      <c r="M19" s="4" t="inlineStr">
        <is>
          <t>—</t>
        </is>
      </c>
    </row>
    <row r="20">
      <c r="A20" s="4" t="n">
        <v>16</v>
      </c>
      <c r="B20" s="5" t="inlineStr">
        <is>
          <t>Homelab</t>
        </is>
      </c>
      <c r="C20" s="5" t="inlineStr">
        <is>
          <t>Homelab Matcha Bowl no.5 \ | Mangkuk Matcha Ceremonial</t>
        </is>
      </c>
      <c r="D20" s="6" t="inlineStr">
        <is>
          <t>1734387056725558852</t>
        </is>
      </c>
      <c r="E20" s="4" t="inlineStr">
        <is>
          <t>—</t>
        </is>
      </c>
      <c r="F20" s="5" t="inlineStr">
        <is>
          <t>Tidak tertera</t>
        </is>
      </c>
      <c r="G20" s="7" t="n">
        <v>157278</v>
      </c>
      <c r="H20" s="7">
        <f>IF(OR($E20="—",$G20="—"),"—",ROUND($G20/$E20,0))</f>
        <v/>
      </c>
      <c r="I20" s="8" t="n">
        <v>3931940</v>
      </c>
      <c r="J20" s="7" t="n">
        <v>25</v>
      </c>
      <c r="K20" s="5" t="inlineStr">
        <is>
          <t>Alat/Aksesori (non-minuman)</t>
        </is>
      </c>
      <c r="L20" s="5" t="inlineStr">
        <is>
          <t>—</t>
        </is>
      </c>
      <c r="M20" s="4" t="inlineStr">
        <is>
          <t>—</t>
        </is>
      </c>
    </row>
    <row r="21">
      <c r="A21" s="4" t="n">
        <v>17</v>
      </c>
      <c r="B21" s="5" t="inlineStr">
        <is>
          <t>Homelab</t>
        </is>
      </c>
      <c r="C21" s="5" t="inlineStr">
        <is>
          <t>Homelab Washo 100% Organic Pure Ceremonial Grade Matcha Powder - Bubuk</t>
        </is>
      </c>
      <c r="D21" s="6" t="inlineStr">
        <is>
          <t>1730557157934007876</t>
        </is>
      </c>
      <c r="E21" s="4" t="inlineStr">
        <is>
          <t>—</t>
        </is>
      </c>
      <c r="F21" s="5" t="inlineStr">
        <is>
          <t>Tidak tertera</t>
        </is>
      </c>
      <c r="G21" s="7" t="n">
        <v>557565</v>
      </c>
      <c r="H21" s="7">
        <f>IF(OR($E21="—",$G21="—"),"—",ROUND($G21/$E21,0))</f>
        <v/>
      </c>
      <c r="I21" s="8" t="n">
        <v>3902954</v>
      </c>
      <c r="J21" s="7" t="n">
        <v>7</v>
      </c>
      <c r="K21" s="5" t="inlineStr">
        <is>
          <t>Matcha</t>
        </is>
      </c>
      <c r="L21" s="5" t="inlineStr">
        <is>
          <t>Ceremonial</t>
        </is>
      </c>
      <c r="M21" s="9" t="n">
        <v>1</v>
      </c>
    </row>
    <row r="22">
      <c r="A22" s="4" t="n">
        <v>18</v>
      </c>
      <c r="B22" s="5" t="inlineStr">
        <is>
          <t>Homelab</t>
        </is>
      </c>
      <c r="C22" s="5" t="inlineStr">
        <is>
          <t>PROMO Paket 3 Bungkus Premium Powder Matcha / Hojicha / Chocolate @1kg</t>
        </is>
      </c>
      <c r="D22" s="6" t="inlineStr">
        <is>
          <t>1730557019242989124</t>
        </is>
      </c>
      <c r="E22" s="4" t="n">
        <v>1000</v>
      </c>
      <c r="F22" s="5" t="inlineStr">
        <is>
          <t>Tidak tertera</t>
        </is>
      </c>
      <c r="G22" s="7" t="n">
        <v>1210814</v>
      </c>
      <c r="H22" s="7">
        <f>IF(OR($E22="—",$G22="—"),"—",ROUND($G22/$E22,0))</f>
        <v/>
      </c>
      <c r="I22" s="8" t="n">
        <v>3632442</v>
      </c>
      <c r="J22" s="7" t="n">
        <v>3</v>
      </c>
      <c r="K22" s="5" t="inlineStr">
        <is>
          <t>Hojicha</t>
        </is>
      </c>
      <c r="L22" s="5" t="inlineStr">
        <is>
          <t>—</t>
        </is>
      </c>
      <c r="M22" s="4" t="inlineStr">
        <is>
          <t>—</t>
        </is>
      </c>
    </row>
    <row r="23">
      <c r="A23" s="4" t="n">
        <v>19</v>
      </c>
      <c r="B23" s="5" t="inlineStr">
        <is>
          <t>Homelab</t>
        </is>
      </c>
      <c r="C23" s="5" t="inlineStr">
        <is>
          <t>Bubuk / Hojicha Powder Premium Grade - 1kg</t>
        </is>
      </c>
      <c r="D23" s="6" t="inlineStr">
        <is>
          <t>1730557017313543748</t>
        </is>
      </c>
      <c r="E23" s="4" t="n">
        <v>1000</v>
      </c>
      <c r="F23" s="5" t="inlineStr">
        <is>
          <t>Tidak tertera</t>
        </is>
      </c>
      <c r="G23" s="7" t="n">
        <v>632088</v>
      </c>
      <c r="H23" s="7">
        <f>IF(OR($E23="—",$G23="—"),"—",ROUND($G23/$E23,0))</f>
        <v/>
      </c>
      <c r="I23" s="8" t="n">
        <v>3160442</v>
      </c>
      <c r="J23" s="7" t="n">
        <v>5</v>
      </c>
      <c r="K23" s="5" t="inlineStr">
        <is>
          <t>Hojicha</t>
        </is>
      </c>
      <c r="L23" s="5" t="inlineStr">
        <is>
          <t>—</t>
        </is>
      </c>
      <c r="M23" s="4" t="inlineStr">
        <is>
          <t>—</t>
        </is>
      </c>
    </row>
    <row r="24">
      <c r="A24" s="4" t="n">
        <v>20</v>
      </c>
      <c r="B24" s="5" t="inlineStr">
        <is>
          <t>Homelab</t>
        </is>
      </c>
      <c r="C24" s="5" t="inlineStr">
        <is>
          <t>Bubuk Coklat / Powder Chocolate - 200g</t>
        </is>
      </c>
      <c r="D24" s="6" t="inlineStr">
        <is>
          <t>1731183877930780228</t>
        </is>
      </c>
      <c r="E24" s="4" t="n">
        <v>200</v>
      </c>
      <c r="F24" s="5" t="inlineStr">
        <is>
          <t>Tidak tertera</t>
        </is>
      </c>
      <c r="G24" s="7" t="n">
        <v>77490</v>
      </c>
      <c r="H24" s="7">
        <f>IF(OR($E24="—",$G24="—"),"—",ROUND($G24/$E24,0))</f>
        <v/>
      </c>
      <c r="I24" s="8" t="n">
        <v>3099613</v>
      </c>
      <c r="J24" s="7" t="n">
        <v>40</v>
      </c>
      <c r="K24" s="5" t="inlineStr">
        <is>
          <t>Chocolate</t>
        </is>
      </c>
      <c r="L24" s="5" t="inlineStr">
        <is>
          <t>—</t>
        </is>
      </c>
      <c r="M24" s="4" t="inlineStr">
        <is>
          <t>—</t>
        </is>
      </c>
    </row>
    <row r="25">
      <c r="A25" s="4" t="n">
        <v>21</v>
      </c>
      <c r="B25" s="5" t="inlineStr">
        <is>
          <t>Homelab</t>
        </is>
      </c>
      <c r="C25" s="5" t="inlineStr">
        <is>
          <t>1 Kg Homelab Bubuk Minuman Sakura Latte Premium Powder</t>
        </is>
      </c>
      <c r="D25" s="6" t="inlineStr">
        <is>
          <t>1731183884836570692</t>
        </is>
      </c>
      <c r="E25" s="4" t="n">
        <v>1000</v>
      </c>
      <c r="F25" s="5" t="inlineStr">
        <is>
          <t>Tidak tertera</t>
        </is>
      </c>
      <c r="G25" s="7" t="n">
        <v>754211</v>
      </c>
      <c r="H25" s="7">
        <f>IF(OR($E25="—",$G25="—"),"—",ROUND($G25/$E25,0))</f>
        <v/>
      </c>
      <c r="I25" s="8" t="n">
        <v>3016842</v>
      </c>
      <c r="J25" s="7" t="n">
        <v>4</v>
      </c>
      <c r="K25" s="5" t="inlineStr">
        <is>
          <t>Sakura</t>
        </is>
      </c>
      <c r="L25" s="5" t="inlineStr">
        <is>
          <t>—</t>
        </is>
      </c>
      <c r="M25" s="4" t="inlineStr">
        <is>
          <t>—</t>
        </is>
      </c>
    </row>
    <row r="26">
      <c r="A26" s="4" t="n">
        <v>22</v>
      </c>
      <c r="B26" s="5" t="inlineStr">
        <is>
          <t>Homelab</t>
        </is>
      </c>
      <c r="C26" s="5" t="inlineStr">
        <is>
          <t>Homelab Pure Taro - 100G / Talas</t>
        </is>
      </c>
      <c r="D26" s="6" t="inlineStr">
        <is>
          <t>1729662031112735300</t>
        </is>
      </c>
      <c r="E26" s="4" t="n">
        <v>100</v>
      </c>
      <c r="F26" s="5" t="inlineStr">
        <is>
          <t>Tidak tertera</t>
        </is>
      </c>
      <c r="G26" s="7" t="n">
        <v>81301</v>
      </c>
      <c r="H26" s="7">
        <f>IF(OR($E26="—",$G26="—"),"—",ROUND($G26/$E26,0))</f>
        <v/>
      </c>
      <c r="I26" s="8" t="n">
        <v>2845535</v>
      </c>
      <c r="J26" s="7" t="n">
        <v>35</v>
      </c>
      <c r="K26" s="5" t="inlineStr">
        <is>
          <t>Taro</t>
        </is>
      </c>
      <c r="L26" s="5" t="inlineStr">
        <is>
          <t>—</t>
        </is>
      </c>
      <c r="M26" s="4" t="inlineStr">
        <is>
          <t>—</t>
        </is>
      </c>
    </row>
    <row r="27">
      <c r="A27" s="4" t="n">
        <v>23</v>
      </c>
      <c r="B27" s="5" t="inlineStr">
        <is>
          <t>Homelab</t>
        </is>
      </c>
      <c r="C27" s="5" t="inlineStr">
        <is>
          <t>Matcha Bowl - High Quality Textured Glass Chawan with Pouring Spout</t>
        </is>
      </c>
      <c r="D27" s="6" t="inlineStr">
        <is>
          <t>1729668565651524164</t>
        </is>
      </c>
      <c r="E27" s="4" t="inlineStr">
        <is>
          <t>—</t>
        </is>
      </c>
      <c r="F27" s="5" t="inlineStr">
        <is>
          <t>Tidak tertera</t>
        </is>
      </c>
      <c r="G27" s="7" t="n">
        <v>190253</v>
      </c>
      <c r="H27" s="7">
        <f>IF(OR($E27="—",$G27="—"),"—",ROUND($G27/$E27,0))</f>
        <v/>
      </c>
      <c r="I27" s="8" t="n">
        <v>2663537</v>
      </c>
      <c r="J27" s="7" t="n">
        <v>14</v>
      </c>
      <c r="K27" s="5" t="inlineStr">
        <is>
          <t>Alat/Aksesori (non-minuman)</t>
        </is>
      </c>
      <c r="L27" s="5" t="inlineStr">
        <is>
          <t>—</t>
        </is>
      </c>
      <c r="M27" s="4" t="inlineStr">
        <is>
          <t>—</t>
        </is>
      </c>
    </row>
    <row r="28">
      <c r="A28" s="4" t="n">
        <v>24</v>
      </c>
      <c r="B28" s="5" t="inlineStr">
        <is>
          <t>Homelab</t>
        </is>
      </c>
      <c r="C28" s="5" t="inlineStr">
        <is>
          <t>Homelab Takumi Chasen \ | Bamboo Matcha Whisk Handmade Ceremonial Grade (Bukan Suikaen)</t>
        </is>
      </c>
      <c r="D28" s="6" t="inlineStr">
        <is>
          <t>1734645354640344644</t>
        </is>
      </c>
      <c r="E28" s="4" t="inlineStr">
        <is>
          <t>—</t>
        </is>
      </c>
      <c r="F28" s="5" t="inlineStr">
        <is>
          <t>Tidak tertera</t>
        </is>
      </c>
      <c r="G28" s="7" t="n">
        <v>589473</v>
      </c>
      <c r="H28" s="7">
        <f>IF(OR($E28="—",$G28="—"),"—",ROUND($G28/$E28,0))</f>
        <v/>
      </c>
      <c r="I28" s="8" t="n">
        <v>2357894</v>
      </c>
      <c r="J28" s="7" t="n">
        <v>4</v>
      </c>
      <c r="K28" s="5" t="inlineStr">
        <is>
          <t>Alat/Aksesori (non-minuman)</t>
        </is>
      </c>
      <c r="L28" s="5" t="inlineStr">
        <is>
          <t>—</t>
        </is>
      </c>
      <c r="M28" s="4" t="inlineStr">
        <is>
          <t>—</t>
        </is>
      </c>
    </row>
    <row r="29">
      <c r="A29" s="4" t="n">
        <v>25</v>
      </c>
      <c r="B29" s="5" t="inlineStr">
        <is>
          <t>Homelab</t>
        </is>
      </c>
      <c r="C29" s="5" t="inlineStr">
        <is>
          <t>Homelab Matcha Ceremonial Grade 30g Powder - Bubuk Minuman Premium Matcha Ceremonial</t>
        </is>
      </c>
      <c r="D29" s="6" t="inlineStr">
        <is>
          <t>1732273487753414212</t>
        </is>
      </c>
      <c r="E29" s="4" t="n">
        <v>30</v>
      </c>
      <c r="F29" s="5" t="inlineStr">
        <is>
          <t>Tidak tertera</t>
        </is>
      </c>
      <c r="G29" s="7" t="n">
        <v>119576</v>
      </c>
      <c r="H29" s="7">
        <f>IF(OR($E29="—",$G29="—"),"—",ROUND($G29/$E29,0))</f>
        <v/>
      </c>
      <c r="I29" s="8" t="n">
        <v>2271945</v>
      </c>
      <c r="J29" s="7" t="n">
        <v>19</v>
      </c>
      <c r="K29" s="5" t="inlineStr">
        <is>
          <t>Matcha</t>
        </is>
      </c>
      <c r="L29" s="5" t="inlineStr">
        <is>
          <t>Ceremonial</t>
        </is>
      </c>
      <c r="M29" s="9" t="n">
        <v>1</v>
      </c>
    </row>
    <row r="30">
      <c r="A30" s="4" t="n">
        <v>26</v>
      </c>
      <c r="B30" s="5" t="inlineStr">
        <is>
          <t>Homelab</t>
        </is>
      </c>
      <c r="C30" s="5" t="inlineStr">
        <is>
          <t>Paket Bird's Nest / Sarang Burung Walet 10 Botol - 100% Asli</t>
        </is>
      </c>
      <c r="D30" s="6" t="inlineStr">
        <is>
          <t>1730570251644470852</t>
        </is>
      </c>
      <c r="E30" s="4" t="inlineStr">
        <is>
          <t>—</t>
        </is>
      </c>
      <c r="F30" s="5" t="inlineStr">
        <is>
          <t>Tidak tertera</t>
        </is>
      </c>
      <c r="G30" s="7" t="n">
        <v>1056096</v>
      </c>
      <c r="H30" s="7">
        <f>IF(OR($E30="—",$G30="—"),"—",ROUND($G30/$E30,0))</f>
        <v/>
      </c>
      <c r="I30" s="8" t="n">
        <v>2112191</v>
      </c>
      <c r="J30" s="7" t="n">
        <v>2</v>
      </c>
      <c r="K30" s="5" t="inlineStr">
        <is>
          <t>Alat/Aksesori (non-minuman)</t>
        </is>
      </c>
      <c r="L30" s="5" t="inlineStr">
        <is>
          <t>—</t>
        </is>
      </c>
      <c r="M30" s="4" t="inlineStr">
        <is>
          <t>—</t>
        </is>
      </c>
    </row>
    <row r="31">
      <c r="A31" s="4" t="n">
        <v>27</v>
      </c>
      <c r="B31" s="5" t="inlineStr">
        <is>
          <t>Homelab</t>
        </is>
      </c>
      <c r="C31" s="5" t="inlineStr">
        <is>
          <t>Homelab Electric Matcha Whisk Pro Set \ | Rechargeable 2-in-1 Frother</t>
        </is>
      </c>
      <c r="D31" s="6" t="inlineStr">
        <is>
          <t>1734452862633477700</t>
        </is>
      </c>
      <c r="E31" s="4" t="inlineStr">
        <is>
          <t>—</t>
        </is>
      </c>
      <c r="F31" s="5" t="inlineStr">
        <is>
          <t>Tidak tertera</t>
        </is>
      </c>
      <c r="G31" s="7" t="n">
        <v>867566</v>
      </c>
      <c r="H31" s="7">
        <f>IF(OR($E31="—",$G31="—"),"—",ROUND($G31/$E31,0))</f>
        <v/>
      </c>
      <c r="I31" s="8" t="n">
        <v>1735131</v>
      </c>
      <c r="J31" s="7" t="n">
        <v>2</v>
      </c>
      <c r="K31" s="5" t="inlineStr">
        <is>
          <t>Alat/Aksesori (non-minuman)</t>
        </is>
      </c>
      <c r="L31" s="5" t="inlineStr">
        <is>
          <t>—</t>
        </is>
      </c>
      <c r="M31" s="4" t="inlineStr">
        <is>
          <t>—</t>
        </is>
      </c>
    </row>
    <row r="32">
      <c r="A32" s="4" t="n">
        <v>28</v>
      </c>
      <c r="B32" s="5" t="inlineStr">
        <is>
          <t>Homelab</t>
        </is>
      </c>
      <c r="C32" s="5" t="inlineStr">
        <is>
          <t>Bubuk Minuman STRAWBERRY LATTE - Premium Drink Powder 200g</t>
        </is>
      </c>
      <c r="D32" s="6" t="inlineStr">
        <is>
          <t>1729507691707140676</t>
        </is>
      </c>
      <c r="E32" s="4" t="n">
        <v>200</v>
      </c>
      <c r="F32" s="5" t="inlineStr">
        <is>
          <t>Tidak tertera</t>
        </is>
      </c>
      <c r="G32" s="7" t="n">
        <v>106662</v>
      </c>
      <c r="H32" s="7">
        <f>IF(OR($E32="—",$G32="—"),"—",ROUND($G32/$E32,0))</f>
        <v/>
      </c>
      <c r="I32" s="8" t="n">
        <v>1706590</v>
      </c>
      <c r="J32" s="7" t="n">
        <v>16</v>
      </c>
      <c r="K32" s="5" t="inlineStr">
        <is>
          <t>Strawberry</t>
        </is>
      </c>
      <c r="L32" s="5" t="inlineStr">
        <is>
          <t>—</t>
        </is>
      </c>
      <c r="M32" s="4" t="inlineStr">
        <is>
          <t>—</t>
        </is>
      </c>
    </row>
    <row r="33">
      <c r="A33" s="4" t="n">
        <v>29</v>
      </c>
      <c r="B33" s="5" t="inlineStr">
        <is>
          <t>Homelab</t>
        </is>
      </c>
      <c r="C33" s="5" t="inlineStr">
        <is>
          <t>Homelab Coconut Creamer Organik - Bubuk Krimer Dari Kelapa 700g (Lactose Free)</t>
        </is>
      </c>
      <c r="D33" s="6" t="inlineStr">
        <is>
          <t>1730569168777479748</t>
        </is>
      </c>
      <c r="E33" s="4" t="n">
        <v>700</v>
      </c>
      <c r="F33" s="5" t="inlineStr">
        <is>
          <t>Tidak tertera</t>
        </is>
      </c>
      <c r="G33" s="7" t="n">
        <v>66437</v>
      </c>
      <c r="H33" s="7">
        <f>IF(OR($E33="—",$G33="—"),"—",ROUND($G33/$E33,0))</f>
        <v/>
      </c>
      <c r="I33" s="8" t="n">
        <v>1660936</v>
      </c>
      <c r="J33" s="7" t="n">
        <v>25</v>
      </c>
      <c r="K33" s="5" t="inlineStr">
        <is>
          <t>Creamer</t>
        </is>
      </c>
      <c r="L33" s="5" t="inlineStr">
        <is>
          <t>—</t>
        </is>
      </c>
      <c r="M33" s="4" t="inlineStr">
        <is>
          <t>—</t>
        </is>
      </c>
    </row>
    <row r="34">
      <c r="A34" s="4" t="n">
        <v>30</v>
      </c>
      <c r="B34" s="5" t="inlineStr">
        <is>
          <t>Homelab</t>
        </is>
      </c>
      <c r="C34" s="5" t="inlineStr">
        <is>
          <t>Bubuk Minuman CHARCOAL LATTE - Premium Drink Powder 200g</t>
        </is>
      </c>
      <c r="D34" s="6" t="inlineStr">
        <is>
          <t>1729507687821773380</t>
        </is>
      </c>
      <c r="E34" s="4" t="n">
        <v>200</v>
      </c>
      <c r="F34" s="5" t="inlineStr">
        <is>
          <t>Tidak tertera</t>
        </is>
      </c>
      <c r="G34" s="7" t="n">
        <v>85664</v>
      </c>
      <c r="H34" s="7">
        <f>IF(OR($E34="—",$G34="—"),"—",ROUND($G34/$E34,0))</f>
        <v/>
      </c>
      <c r="I34" s="8" t="n">
        <v>1370625</v>
      </c>
      <c r="J34" s="7" t="n">
        <v>16</v>
      </c>
      <c r="K34" s="5" t="inlineStr">
        <is>
          <t>Charcoal</t>
        </is>
      </c>
      <c r="L34" s="5" t="inlineStr">
        <is>
          <t>—</t>
        </is>
      </c>
      <c r="M34" s="4" t="inlineStr">
        <is>
          <t>—</t>
        </is>
      </c>
    </row>
    <row r="35">
      <c r="A35" s="4" t="n">
        <v>31</v>
      </c>
      <c r="B35" s="5" t="inlineStr">
        <is>
          <t>Homelab</t>
        </is>
      </c>
      <c r="C35" s="5" t="inlineStr">
        <is>
          <t>Chasen / Matcha Whisk Plastic - Homelab Pengaduk Matcha Plastik</t>
        </is>
      </c>
      <c r="D35" s="6" t="inlineStr">
        <is>
          <t>1730557158570362436</t>
        </is>
      </c>
      <c r="E35" s="4" t="inlineStr">
        <is>
          <t>—</t>
        </is>
      </c>
      <c r="F35" s="5" t="inlineStr">
        <is>
          <t>Tidak tertera</t>
        </is>
      </c>
      <c r="G35" s="7" t="n">
        <v>213258</v>
      </c>
      <c r="H35" s="7">
        <f>IF(OR($E35="—",$G35="—"),"—",ROUND($G35/$E35,0))</f>
        <v/>
      </c>
      <c r="I35" s="8" t="n">
        <v>1279550</v>
      </c>
      <c r="J35" s="7" t="n">
        <v>6</v>
      </c>
      <c r="K35" s="5" t="inlineStr">
        <is>
          <t>Alat/Aksesori (non-minuman)</t>
        </is>
      </c>
      <c r="L35" s="5" t="inlineStr">
        <is>
          <t>—</t>
        </is>
      </c>
      <c r="M35" s="4" t="inlineStr">
        <is>
          <t>—</t>
        </is>
      </c>
    </row>
    <row r="36">
      <c r="A36" s="4" t="n">
        <v>32</v>
      </c>
      <c r="B36" s="5" t="inlineStr">
        <is>
          <t>Homelab</t>
        </is>
      </c>
      <c r="C36" s="5" t="inlineStr">
        <is>
          <t>Homelab Matcha Bamboo Spoon / Sendok Takar Matcha Bambu</t>
        </is>
      </c>
      <c r="D36" s="6" t="inlineStr">
        <is>
          <t>1730557156952475204</t>
        </is>
      </c>
      <c r="E36" s="4" t="inlineStr">
        <is>
          <t>—</t>
        </is>
      </c>
      <c r="F36" s="5" t="inlineStr">
        <is>
          <t>Tidak tertera</t>
        </is>
      </c>
      <c r="G36" s="7" t="n">
        <v>146177</v>
      </c>
      <c r="H36" s="7">
        <f>IF(OR($E36="—",$G36="—"),"—",ROUND($G36/$E36,0))</f>
        <v/>
      </c>
      <c r="I36" s="8" t="n">
        <v>1169412</v>
      </c>
      <c r="J36" s="7" t="n">
        <v>8</v>
      </c>
      <c r="K36" s="5" t="inlineStr">
        <is>
          <t>Alat/Aksesori (non-minuman)</t>
        </is>
      </c>
      <c r="L36" s="5" t="inlineStr">
        <is>
          <t>—</t>
        </is>
      </c>
      <c r="M36" s="4" t="inlineStr">
        <is>
          <t>—</t>
        </is>
      </c>
    </row>
    <row r="37">
      <c r="A37" s="4" t="n">
        <v>33</v>
      </c>
      <c r="B37" s="5" t="inlineStr">
        <is>
          <t>Homelab</t>
        </is>
      </c>
      <c r="C37" s="5" t="inlineStr">
        <is>
          <t>Homelab Pure Extract Sakura - Bubuk Sakura Asli / Murni / Ekstrak 80g</t>
        </is>
      </c>
      <c r="D37" s="6" t="inlineStr">
        <is>
          <t>1729667839240669764</t>
        </is>
      </c>
      <c r="E37" s="4" t="n">
        <v>80</v>
      </c>
      <c r="F37" s="5" t="inlineStr">
        <is>
          <t>Tidak tertera</t>
        </is>
      </c>
      <c r="G37" s="7" t="n">
        <v>162763</v>
      </c>
      <c r="H37" s="7">
        <f>IF(OR($E37="—",$G37="—"),"—",ROUND($G37/$E37,0))</f>
        <v/>
      </c>
      <c r="I37" s="8" t="n">
        <v>1139343</v>
      </c>
      <c r="J37" s="7" t="n">
        <v>7</v>
      </c>
      <c r="K37" s="5" t="inlineStr">
        <is>
          <t>Sakura</t>
        </is>
      </c>
      <c r="L37" s="5" t="inlineStr">
        <is>
          <t>—</t>
        </is>
      </c>
      <c r="M37" s="4" t="inlineStr">
        <is>
          <t>—</t>
        </is>
      </c>
    </row>
    <row r="38">
      <c r="A38" s="4" t="n">
        <v>34</v>
      </c>
      <c r="B38" s="5" t="inlineStr">
        <is>
          <t>Homelab</t>
        </is>
      </c>
      <c r="C38" s="5" t="inlineStr">
        <is>
          <t>Bubuk Minuman NANAS - PINEAPPLE LATTE - Premium Drink Powder 200g</t>
        </is>
      </c>
      <c r="D38" s="6" t="inlineStr">
        <is>
          <t>1729507688781941316</t>
        </is>
      </c>
      <c r="E38" s="4" t="n">
        <v>200</v>
      </c>
      <c r="F38" s="5" t="inlineStr">
        <is>
          <t>Tidak tertera</t>
        </is>
      </c>
      <c r="G38" s="7" t="n">
        <v>79094</v>
      </c>
      <c r="H38" s="7">
        <f>IF(OR($E38="—",$G38="—"),"—",ROUND($G38/$E38,0))</f>
        <v/>
      </c>
      <c r="I38" s="8" t="n">
        <v>1107317</v>
      </c>
      <c r="J38" s="7" t="n">
        <v>14</v>
      </c>
      <c r="K38" s="5" t="inlineStr">
        <is>
          <t>Pineapple</t>
        </is>
      </c>
      <c r="L38" s="5" t="inlineStr">
        <is>
          <t>—</t>
        </is>
      </c>
      <c r="M38" s="4" t="inlineStr">
        <is>
          <t>—</t>
        </is>
      </c>
    </row>
    <row r="39">
      <c r="A39" s="4" t="n">
        <v>35</v>
      </c>
      <c r="B39" s="5" t="inlineStr">
        <is>
          <t>Homelab</t>
        </is>
      </c>
      <c r="C39" s="5" t="inlineStr">
        <is>
          <t>Pure Uji Matcha &amp; Pure Hojicha 100g - Paket Bundle</t>
        </is>
      </c>
      <c r="D39" s="6" t="inlineStr">
        <is>
          <t>1730557019233945156</t>
        </is>
      </c>
      <c r="E39" s="4" t="n">
        <v>100</v>
      </c>
      <c r="F39" s="5" t="inlineStr">
        <is>
          <t>Tidak tertera</t>
        </is>
      </c>
      <c r="G39" s="7" t="n">
        <v>522202</v>
      </c>
      <c r="H39" s="7">
        <f>IF(OR($E39="—",$G39="—"),"—",ROUND($G39/$E39,0))</f>
        <v/>
      </c>
      <c r="I39" s="8" t="n">
        <v>1044404</v>
      </c>
      <c r="J39" s="7" t="n">
        <v>2</v>
      </c>
      <c r="K39" s="5" t="inlineStr">
        <is>
          <t>Hojicha</t>
        </is>
      </c>
      <c r="L39" s="5" t="inlineStr">
        <is>
          <t>—</t>
        </is>
      </c>
      <c r="M39" s="4" t="inlineStr">
        <is>
          <t>—</t>
        </is>
      </c>
    </row>
    <row r="40">
      <c r="A40" s="4" t="n">
        <v>36</v>
      </c>
      <c r="B40" s="5" t="inlineStr">
        <is>
          <t>Homelab</t>
        </is>
      </c>
      <c r="C40" s="5" t="inlineStr">
        <is>
          <t>Homelab Pure Taro / Talas 50 Gram</t>
        </is>
      </c>
      <c r="D40" s="6" t="inlineStr">
        <is>
          <t>1729667859958303300</t>
        </is>
      </c>
      <c r="E40" s="4" t="n">
        <v>50</v>
      </c>
      <c r="F40" s="5" t="inlineStr">
        <is>
          <t>Tidak tertera</t>
        </is>
      </c>
      <c r="G40" s="7" t="n">
        <v>19049</v>
      </c>
      <c r="H40" s="7">
        <f>IF(OR($E40="—",$G40="—"),"—",ROUND($G40/$E40,0))</f>
        <v/>
      </c>
      <c r="I40" s="8" t="n">
        <v>933390</v>
      </c>
      <c r="J40" s="7" t="n">
        <v>49</v>
      </c>
      <c r="K40" s="5" t="inlineStr">
        <is>
          <t>Taro</t>
        </is>
      </c>
      <c r="L40" s="5" t="inlineStr">
        <is>
          <t>—</t>
        </is>
      </c>
      <c r="M40" s="4" t="inlineStr">
        <is>
          <t>—</t>
        </is>
      </c>
    </row>
    <row r="41">
      <c r="A41" s="4" t="n">
        <v>37</v>
      </c>
      <c r="B41" s="5" t="inlineStr">
        <is>
          <t>Homelab</t>
        </is>
      </c>
      <c r="C41" s="5" t="inlineStr">
        <is>
          <t>Homelab Bubuk minuman EARL GREY - Drink Powder 200g</t>
        </is>
      </c>
      <c r="D41" s="6" t="inlineStr">
        <is>
          <t>1729702029461523012</t>
        </is>
      </c>
      <c r="E41" s="4" t="n">
        <v>200</v>
      </c>
      <c r="F41" s="5" t="inlineStr">
        <is>
          <t>Tidak tertera</t>
        </is>
      </c>
      <c r="G41" s="7" t="n">
        <v>89843</v>
      </c>
      <c r="H41" s="7">
        <f>IF(OR($E41="—",$G41="—"),"—",ROUND($G41/$E41,0))</f>
        <v/>
      </c>
      <c r="I41" s="8" t="n">
        <v>898426</v>
      </c>
      <c r="J41" s="7" t="n">
        <v>10</v>
      </c>
      <c r="K41" s="5" t="inlineStr">
        <is>
          <t>Earl Grey</t>
        </is>
      </c>
      <c r="L41" s="5" t="inlineStr">
        <is>
          <t>—</t>
        </is>
      </c>
      <c r="M41" s="4" t="inlineStr">
        <is>
          <t>—</t>
        </is>
      </c>
    </row>
    <row r="42">
      <c r="A42" s="4" t="n">
        <v>38</v>
      </c>
      <c r="B42" s="5" t="inlineStr">
        <is>
          <t>Homelab</t>
        </is>
      </c>
      <c r="C42" s="5" t="inlineStr">
        <is>
          <t>Homelab Matcha Sifter / Stainer / Saringan / Ayakan Bubuk Matcha</t>
        </is>
      </c>
      <c r="D42" s="6" t="inlineStr">
        <is>
          <t>1730557157946918468</t>
        </is>
      </c>
      <c r="E42" s="4" t="inlineStr">
        <is>
          <t>—</t>
        </is>
      </c>
      <c r="F42" s="5" t="inlineStr">
        <is>
          <t>Tidak tertera</t>
        </is>
      </c>
      <c r="G42" s="7" t="n">
        <v>86912</v>
      </c>
      <c r="H42" s="7">
        <f>IF(OR($E42="—",$G42="—"),"—",ROUND($G42/$E42,0))</f>
        <v/>
      </c>
      <c r="I42" s="8" t="n">
        <v>869116</v>
      </c>
      <c r="J42" s="7" t="n">
        <v>10</v>
      </c>
      <c r="K42" s="5" t="inlineStr">
        <is>
          <t>Alat/Aksesori (non-minuman)</t>
        </is>
      </c>
      <c r="L42" s="5" t="inlineStr">
        <is>
          <t>—</t>
        </is>
      </c>
      <c r="M42" s="4" t="inlineStr">
        <is>
          <t>—</t>
        </is>
      </c>
    </row>
    <row r="43">
      <c r="A43" s="4" t="n">
        <v>39</v>
      </c>
      <c r="B43" s="5" t="inlineStr">
        <is>
          <t>Homelab</t>
        </is>
      </c>
      <c r="C43" s="5" t="inlineStr">
        <is>
          <t>Homelab Dairy Creamer Premium- Krimer Susu Premium 700g</t>
        </is>
      </c>
      <c r="D43" s="6" t="inlineStr">
        <is>
          <t>1730569169475110468</t>
        </is>
      </c>
      <c r="E43" s="4" t="n">
        <v>700</v>
      </c>
      <c r="F43" s="5" t="inlineStr">
        <is>
          <t>Tidak tertera</t>
        </is>
      </c>
      <c r="G43" s="7" t="n">
        <v>54201</v>
      </c>
      <c r="H43" s="7">
        <f>IF(OR($E43="—",$G43="—"),"—",ROUND($G43/$E43,0))</f>
        <v/>
      </c>
      <c r="I43" s="8" t="n">
        <v>867218</v>
      </c>
      <c r="J43" s="7" t="n">
        <v>16</v>
      </c>
      <c r="K43" s="5" t="inlineStr">
        <is>
          <t>Creamer</t>
        </is>
      </c>
      <c r="L43" s="5" t="inlineStr">
        <is>
          <t>—</t>
        </is>
      </c>
      <c r="M43" s="4" t="inlineStr">
        <is>
          <t>—</t>
        </is>
      </c>
    </row>
    <row r="44">
      <c r="A44" s="4" t="n">
        <v>40</v>
      </c>
      <c r="B44" s="5" t="inlineStr">
        <is>
          <t>Homelab</t>
        </is>
      </c>
      <c r="C44" s="5" t="inlineStr">
        <is>
          <t>100% PURE UJI MATCHA Japan - Bubuk Matcha Premium Grade - 200g</t>
        </is>
      </c>
      <c r="D44" s="6" t="inlineStr">
        <is>
          <t>1731183894920136260</t>
        </is>
      </c>
      <c r="E44" s="4" t="n">
        <v>200</v>
      </c>
      <c r="F44" s="5" t="inlineStr">
        <is>
          <t>Tidak tertera</t>
        </is>
      </c>
      <c r="G44" s="7" t="n">
        <v>261914</v>
      </c>
      <c r="H44" s="7">
        <f>IF(OR($E44="—",$G44="—"),"—",ROUND($G44/$E44,0))</f>
        <v/>
      </c>
      <c r="I44" s="8" t="n">
        <v>785741</v>
      </c>
      <c r="J44" s="7" t="n">
        <v>3</v>
      </c>
      <c r="K44" s="5" t="inlineStr">
        <is>
          <t>Matcha</t>
        </is>
      </c>
      <c r="L44" s="5" t="inlineStr">
        <is>
          <t>Premium</t>
        </is>
      </c>
      <c r="M44" s="12" t="n">
        <v>2</v>
      </c>
    </row>
    <row r="45">
      <c r="A45" s="4" t="n">
        <v>41</v>
      </c>
      <c r="B45" s="5" t="inlineStr">
        <is>
          <t>Homelab</t>
        </is>
      </c>
      <c r="C45" s="5" t="inlineStr">
        <is>
          <t>Homelab Bubuk Minuman Taro Latte Premium Powder 200G</t>
        </is>
      </c>
      <c r="D45" s="6" t="inlineStr">
        <is>
          <t>1729593399457450564</t>
        </is>
      </c>
      <c r="E45" s="4" t="n">
        <v>200</v>
      </c>
      <c r="F45" s="5" t="inlineStr">
        <is>
          <t>Tidak tertera</t>
        </is>
      </c>
      <c r="G45" s="7" t="n">
        <v>63284</v>
      </c>
      <c r="H45" s="7">
        <f>IF(OR($E45="—",$G45="—"),"—",ROUND($G45/$E45,0))</f>
        <v/>
      </c>
      <c r="I45" s="8" t="n">
        <v>759406</v>
      </c>
      <c r="J45" s="7" t="n">
        <v>12</v>
      </c>
      <c r="K45" s="5" t="inlineStr">
        <is>
          <t>Taro</t>
        </is>
      </c>
      <c r="L45" s="5" t="inlineStr">
        <is>
          <t>—</t>
        </is>
      </c>
      <c r="M45" s="4" t="inlineStr">
        <is>
          <t>—</t>
        </is>
      </c>
    </row>
    <row r="46">
      <c r="A46" s="4" t="n">
        <v>42</v>
      </c>
      <c r="B46" s="5" t="inlineStr">
        <is>
          <t>Homelab</t>
        </is>
      </c>
      <c r="C46" s="5" t="inlineStr">
        <is>
          <t>Homelab Parsel Ramadan / Hampers Lebaran - 4 Toples Bubuk Minuman</t>
        </is>
      </c>
      <c r="D46" s="6" t="inlineStr">
        <is>
          <t>1734645886011147844</t>
        </is>
      </c>
      <c r="E46" s="4" t="inlineStr">
        <is>
          <t>—</t>
        </is>
      </c>
      <c r="F46" s="5" t="inlineStr">
        <is>
          <t>Jar</t>
        </is>
      </c>
      <c r="G46" s="7" t="n">
        <v>748167</v>
      </c>
      <c r="H46" s="7">
        <f>IF(OR($E46="—",$G46="—"),"—",ROUND($G46/$E46,0))</f>
        <v/>
      </c>
      <c r="I46" s="8" t="n">
        <v>748167</v>
      </c>
      <c r="J46" s="7" t="n">
        <v>1</v>
      </c>
      <c r="K46" s="5" t="inlineStr">
        <is>
          <t>Lainnya</t>
        </is>
      </c>
      <c r="L46" s="5" t="inlineStr">
        <is>
          <t>—</t>
        </is>
      </c>
      <c r="M46" s="4" t="inlineStr">
        <is>
          <t>—</t>
        </is>
      </c>
    </row>
    <row r="47">
      <c r="A47" s="4" t="n">
        <v>43</v>
      </c>
      <c r="B47" s="5" t="inlineStr">
        <is>
          <t>Homelab</t>
        </is>
      </c>
      <c r="C47" s="5" t="inlineStr">
        <is>
          <t>Homelab Matcha Ceramic Canister / Wadah Bubuk Matcha Keramik</t>
        </is>
      </c>
      <c r="D47" s="6" t="inlineStr">
        <is>
          <t>1731183884833949252</t>
        </is>
      </c>
      <c r="E47" s="4" t="inlineStr">
        <is>
          <t>—</t>
        </is>
      </c>
      <c r="F47" s="5" t="inlineStr">
        <is>
          <t>Canister</t>
        </is>
      </c>
      <c r="G47" s="7" t="n">
        <v>49640</v>
      </c>
      <c r="H47" s="7">
        <f>IF(OR($E47="—",$G47="—"),"—",ROUND($G47/$E47,0))</f>
        <v/>
      </c>
      <c r="I47" s="8" t="n">
        <v>694963</v>
      </c>
      <c r="J47" s="7" t="n">
        <v>14</v>
      </c>
      <c r="K47" s="5" t="inlineStr">
        <is>
          <t>Alat/Aksesori (non-minuman)</t>
        </is>
      </c>
      <c r="L47" s="5" t="inlineStr">
        <is>
          <t>—</t>
        </is>
      </c>
      <c r="M47" s="4" t="inlineStr">
        <is>
          <t>—</t>
        </is>
      </c>
    </row>
    <row r="48">
      <c r="A48" s="4" t="n">
        <v>44</v>
      </c>
      <c r="B48" s="5" t="inlineStr">
        <is>
          <t>Homelab</t>
        </is>
      </c>
      <c r="C48" s="5" t="inlineStr">
        <is>
          <t>Bubuk / Powder Matcha &amp; Hojicha Premium</t>
        </is>
      </c>
      <c r="D48" s="6" t="inlineStr">
        <is>
          <t>1730557019085309508</t>
        </is>
      </c>
      <c r="E48" s="4" t="inlineStr">
        <is>
          <t>—</t>
        </is>
      </c>
      <c r="F48" s="5" t="inlineStr">
        <is>
          <t>Tidak tertera</t>
        </is>
      </c>
      <c r="G48" s="7" t="n">
        <v>230948</v>
      </c>
      <c r="H48" s="7">
        <f>IF(OR($E48="—",$G48="—"),"—",ROUND($G48/$E48,0))</f>
        <v/>
      </c>
      <c r="I48" s="8" t="n">
        <v>692845</v>
      </c>
      <c r="J48" s="7" t="n">
        <v>3</v>
      </c>
      <c r="K48" s="5" t="inlineStr">
        <is>
          <t>Hojicha</t>
        </is>
      </c>
      <c r="L48" s="5" t="inlineStr">
        <is>
          <t>—</t>
        </is>
      </c>
      <c r="M48" s="4" t="inlineStr">
        <is>
          <t>—</t>
        </is>
      </c>
    </row>
    <row r="49">
      <c r="A49" s="4" t="n">
        <v>45</v>
      </c>
      <c r="B49" s="5" t="inlineStr">
        <is>
          <t>Homelab</t>
        </is>
      </c>
      <c r="C49" s="5" t="inlineStr">
        <is>
          <t>Homelab Bubuk Coklat / Powder Chocolate - 200G</t>
        </is>
      </c>
      <c r="D49" s="6" t="inlineStr">
        <is>
          <t>1729667865706138180</t>
        </is>
      </c>
      <c r="E49" s="4" t="n">
        <v>200</v>
      </c>
      <c r="F49" s="5" t="inlineStr">
        <is>
          <t>Tidak tertera</t>
        </is>
      </c>
      <c r="G49" s="7" t="n">
        <v>84001</v>
      </c>
      <c r="H49" s="7">
        <f>IF(OR($E49="—",$G49="—"),"—",ROUND($G49/$E49,0))</f>
        <v/>
      </c>
      <c r="I49" s="8" t="n">
        <v>672007</v>
      </c>
      <c r="J49" s="7" t="n">
        <v>8</v>
      </c>
      <c r="K49" s="5" t="inlineStr">
        <is>
          <t>Chocolate</t>
        </is>
      </c>
      <c r="L49" s="5" t="inlineStr">
        <is>
          <t>—</t>
        </is>
      </c>
      <c r="M49" s="4" t="inlineStr">
        <is>
          <t>—</t>
        </is>
      </c>
    </row>
    <row r="50">
      <c r="A50" s="4" t="n">
        <v>46</v>
      </c>
      <c r="B50" s="5" t="inlineStr">
        <is>
          <t>Homelab</t>
        </is>
      </c>
      <c r="C50" s="5" t="inlineStr">
        <is>
          <t>Homelab Bubuk Minuman Sakura Latte Premium Powder 200G</t>
        </is>
      </c>
      <c r="D50" s="6" t="inlineStr">
        <is>
          <t>1729502080216697412</t>
        </is>
      </c>
      <c r="E50" s="4" t="n">
        <v>200</v>
      </c>
      <c r="F50" s="5" t="inlineStr">
        <is>
          <t>Tidak tertera</t>
        </is>
      </c>
      <c r="G50" s="7" t="n">
        <v>149728</v>
      </c>
      <c r="H50" s="7">
        <f>IF(OR($E50="—",$G50="—"),"—",ROUND($G50/$E50,0))</f>
        <v/>
      </c>
      <c r="I50" s="8" t="n">
        <v>598913</v>
      </c>
      <c r="J50" s="7" t="n">
        <v>4</v>
      </c>
      <c r="K50" s="5" t="inlineStr">
        <is>
          <t>Sakura</t>
        </is>
      </c>
      <c r="L50" s="5" t="inlineStr">
        <is>
          <t>—</t>
        </is>
      </c>
      <c r="M50" s="4" t="inlineStr">
        <is>
          <t>—</t>
        </is>
      </c>
    </row>
    <row r="51">
      <c r="A51" s="4" t="n">
        <v>47</v>
      </c>
      <c r="B51" s="5" t="inlineStr">
        <is>
          <t>Homelab</t>
        </is>
      </c>
      <c r="C51" s="5" t="inlineStr">
        <is>
          <t>Ceremonial Matcha Japan Ipoddo, Attelier, Tsujiri, Shohokuen- Bubuk matcha ceremonial grade Jepang</t>
        </is>
      </c>
      <c r="D51" s="6" t="inlineStr">
        <is>
          <t>1731183904703940164</t>
        </is>
      </c>
      <c r="E51" s="4" t="inlineStr">
        <is>
          <t>—</t>
        </is>
      </c>
      <c r="F51" s="5" t="inlineStr">
        <is>
          <t>Tidak tertera</t>
        </is>
      </c>
      <c r="G51" s="7" t="n">
        <v>575342</v>
      </c>
      <c r="H51" s="7">
        <f>IF(OR($E51="—",$G51="—"),"—",ROUND($G51/$E51,0))</f>
        <v/>
      </c>
      <c r="I51" s="8" t="n">
        <v>575342</v>
      </c>
      <c r="J51" s="7" t="n">
        <v>1</v>
      </c>
      <c r="K51" s="5" t="inlineStr">
        <is>
          <t>Matcha</t>
        </is>
      </c>
      <c r="L51" s="5" t="inlineStr">
        <is>
          <t>Ceremonial</t>
        </is>
      </c>
      <c r="M51" s="9" t="n">
        <v>1</v>
      </c>
    </row>
    <row r="52">
      <c r="A52" s="4" t="n">
        <v>48</v>
      </c>
      <c r="B52" s="5" t="inlineStr">
        <is>
          <t>Homelab</t>
        </is>
      </c>
      <c r="C52" s="5" t="inlineStr">
        <is>
          <t>Homelab Matcha Bowl + Chasen Holder Ceramic Premium - Mangkuk Pengaduk</t>
        </is>
      </c>
      <c r="D52" s="6" t="inlineStr">
        <is>
          <t>1730557157776328260</t>
        </is>
      </c>
      <c r="E52" s="4" t="inlineStr">
        <is>
          <t>—</t>
        </is>
      </c>
      <c r="F52" s="5" t="inlineStr">
        <is>
          <t>Tidak tertera</t>
        </is>
      </c>
      <c r="G52" s="7" t="n">
        <v>287112</v>
      </c>
      <c r="H52" s="7">
        <f>IF(OR($E52="—",$G52="—"),"—",ROUND($G52/$E52,0))</f>
        <v/>
      </c>
      <c r="I52" s="8" t="n">
        <v>574223</v>
      </c>
      <c r="J52" s="7" t="n">
        <v>2</v>
      </c>
      <c r="K52" s="5" t="inlineStr">
        <is>
          <t>Alat/Aksesori (non-minuman)</t>
        </is>
      </c>
      <c r="L52" s="5" t="inlineStr">
        <is>
          <t>—</t>
        </is>
      </c>
      <c r="M52" s="4" t="inlineStr">
        <is>
          <t>—</t>
        </is>
      </c>
    </row>
    <row r="53">
      <c r="A53" s="4" t="n">
        <v>49</v>
      </c>
      <c r="B53" s="5" t="inlineStr">
        <is>
          <t>Homelab</t>
        </is>
      </c>
      <c r="C53" s="5" t="inlineStr">
        <is>
          <t>Homelab Matcha Whisk Holder  \ | Dudukan Chasen Matcha Premium</t>
        </is>
      </c>
      <c r="D53" s="6" t="inlineStr">
        <is>
          <t>1734644865193510468</t>
        </is>
      </c>
      <c r="E53" s="4" t="inlineStr">
        <is>
          <t>—</t>
        </is>
      </c>
      <c r="F53" s="5" t="inlineStr">
        <is>
          <t>Tidak tertera</t>
        </is>
      </c>
      <c r="G53" s="7" t="n">
        <v>141353</v>
      </c>
      <c r="H53" s="7">
        <f>IF(OR($E53="—",$G53="—"),"—",ROUND($G53/$E53,0))</f>
        <v/>
      </c>
      <c r="I53" s="8" t="n">
        <v>565413</v>
      </c>
      <c r="J53" s="7" t="n">
        <v>4</v>
      </c>
      <c r="K53" s="5" t="inlineStr">
        <is>
          <t>Alat/Aksesori (non-minuman)</t>
        </is>
      </c>
      <c r="L53" s="5" t="inlineStr">
        <is>
          <t>—</t>
        </is>
      </c>
      <c r="M53" s="4" t="inlineStr">
        <is>
          <t>—</t>
        </is>
      </c>
    </row>
    <row r="54">
      <c r="A54" s="4" t="n">
        <v>50</v>
      </c>
      <c r="B54" s="5" t="inlineStr">
        <is>
          <t>Homelab</t>
        </is>
      </c>
      <c r="C54" s="5" t="inlineStr">
        <is>
          <t>Homelab Electric Ceramic Tea Pot Premium \ | Teko Masak Air - 1.2L</t>
        </is>
      </c>
      <c r="D54" s="6" t="inlineStr">
        <is>
          <t>1734644865193510468</t>
        </is>
      </c>
      <c r="E54" s="4" t="inlineStr">
        <is>
          <t>—</t>
        </is>
      </c>
      <c r="F54" s="5" t="inlineStr">
        <is>
          <t>Tidak tertera</t>
        </is>
      </c>
      <c r="G54" s="7" t="n">
        <v>141353</v>
      </c>
      <c r="H54" s="7">
        <f>IF(OR($E54="—",$G54="—"),"—",ROUND($G54/$E54,0))</f>
        <v/>
      </c>
      <c r="I54" s="8" t="n">
        <v>565413</v>
      </c>
      <c r="J54" s="7" t="n">
        <v>4</v>
      </c>
      <c r="K54" s="5" t="inlineStr">
        <is>
          <t>Alat/Aksesori (non-minuman)</t>
        </is>
      </c>
      <c r="L54" s="5" t="inlineStr">
        <is>
          <t>—</t>
        </is>
      </c>
      <c r="M54" s="4" t="inlineStr">
        <is>
          <t>—</t>
        </is>
      </c>
    </row>
    <row r="55">
      <c r="A55" s="4" t="n">
        <v>51</v>
      </c>
      <c r="B55" s="5" t="inlineStr">
        <is>
          <t>Homelab</t>
        </is>
      </c>
      <c r="C55" s="5" t="inlineStr">
        <is>
          <t>Homelab Matcha Bowl No.50 + Chasen Holder – Mangkuk Matcha Ceremonial Kaca Premium (Pink / Lavender)</t>
        </is>
      </c>
      <c r="D55" s="6" t="inlineStr">
        <is>
          <t>1734440080463595076</t>
        </is>
      </c>
      <c r="E55" s="4" t="inlineStr">
        <is>
          <t>—</t>
        </is>
      </c>
      <c r="F55" s="5" t="inlineStr">
        <is>
          <t>Tidak tertera</t>
        </is>
      </c>
      <c r="G55" s="7" t="n">
        <v>279352</v>
      </c>
      <c r="H55" s="7">
        <f>IF(OR($E55="—",$G55="—"),"—",ROUND($G55/$E55,0))</f>
        <v/>
      </c>
      <c r="I55" s="8" t="n">
        <v>558704</v>
      </c>
      <c r="J55" s="7" t="n">
        <v>2</v>
      </c>
      <c r="K55" s="5" t="inlineStr">
        <is>
          <t>Alat/Aksesori (non-minuman)</t>
        </is>
      </c>
      <c r="L55" s="5" t="inlineStr">
        <is>
          <t>—</t>
        </is>
      </c>
      <c r="M55" s="4" t="inlineStr">
        <is>
          <t>—</t>
        </is>
      </c>
    </row>
    <row r="56">
      <c r="A56" s="4" t="n">
        <v>52</v>
      </c>
      <c r="B56" s="5" t="inlineStr">
        <is>
          <t>Homelab</t>
        </is>
      </c>
      <c r="C56" s="5" t="inlineStr">
        <is>
          <t>Homelab Bubuk / Powder Matcha &amp; Chocolate Premium</t>
        </is>
      </c>
      <c r="D56" s="6" t="inlineStr">
        <is>
          <t>1729507705918622276</t>
        </is>
      </c>
      <c r="E56" s="4" t="inlineStr">
        <is>
          <t>—</t>
        </is>
      </c>
      <c r="F56" s="5" t="inlineStr">
        <is>
          <t>Tidak tertera</t>
        </is>
      </c>
      <c r="G56" s="7" t="n">
        <v>180733</v>
      </c>
      <c r="H56" s="7">
        <f>IF(OR($E56="—",$G56="—"),"—",ROUND($G56/$E56,0))</f>
        <v/>
      </c>
      <c r="I56" s="8" t="n">
        <v>542198</v>
      </c>
      <c r="J56" s="7" t="n">
        <v>3</v>
      </c>
      <c r="K56" s="5" t="inlineStr">
        <is>
          <t>Chocolate</t>
        </is>
      </c>
      <c r="L56" s="5" t="inlineStr">
        <is>
          <t>—</t>
        </is>
      </c>
      <c r="M56" s="4" t="inlineStr">
        <is>
          <t>—</t>
        </is>
      </c>
    </row>
    <row r="57">
      <c r="A57" s="4" t="n">
        <v>53</v>
      </c>
      <c r="B57" s="5" t="inlineStr">
        <is>
          <t>Homelab</t>
        </is>
      </c>
      <c r="C57" s="5" t="inlineStr">
        <is>
          <t>Homelab Matcha Bowl no.3 \ | Mangkuk Matcha Ceremonial</t>
        </is>
      </c>
      <c r="D57" s="6" t="inlineStr">
        <is>
          <t>1734381668535469636</t>
        </is>
      </c>
      <c r="E57" s="4" t="inlineStr">
        <is>
          <t>—</t>
        </is>
      </c>
      <c r="F57" s="5" t="inlineStr">
        <is>
          <t>Tidak tertera</t>
        </is>
      </c>
      <c r="G57" s="7" t="n">
        <v>226673</v>
      </c>
      <c r="H57" s="7">
        <f>IF(OR($E57="—",$G57="—"),"—",ROUND($G57/$E57,0))</f>
        <v/>
      </c>
      <c r="I57" s="8" t="n">
        <v>453345</v>
      </c>
      <c r="J57" s="7" t="n">
        <v>2</v>
      </c>
      <c r="K57" s="5" t="inlineStr">
        <is>
          <t>Alat/Aksesori (non-minuman)</t>
        </is>
      </c>
      <c r="L57" s="5" t="inlineStr">
        <is>
          <t>—</t>
        </is>
      </c>
      <c r="M57" s="4" t="inlineStr">
        <is>
          <t>—</t>
        </is>
      </c>
    </row>
    <row r="58">
      <c r="A58" s="4" t="n">
        <v>54</v>
      </c>
      <c r="B58" s="5" t="inlineStr">
        <is>
          <t>Homelab</t>
        </is>
      </c>
      <c r="C58" s="5" t="inlineStr">
        <is>
          <t>Homelab Matcha Bowl no.6 \ | Mangkuk Matcha Ceremonial Thick</t>
        </is>
      </c>
      <c r="D58" s="6" t="inlineStr">
        <is>
          <t>1734387232100222532</t>
        </is>
      </c>
      <c r="E58" s="4" t="inlineStr">
        <is>
          <t>—</t>
        </is>
      </c>
      <c r="F58" s="5" t="inlineStr">
        <is>
          <t>Tidak tertera</t>
        </is>
      </c>
      <c r="G58" s="7" t="n">
        <v>226338</v>
      </c>
      <c r="H58" s="7">
        <f>IF(OR($E58="—",$G58="—"),"—",ROUND($G58/$E58,0))</f>
        <v/>
      </c>
      <c r="I58" s="8" t="n">
        <v>452676</v>
      </c>
      <c r="J58" s="7" t="n">
        <v>2</v>
      </c>
      <c r="K58" s="5" t="inlineStr">
        <is>
          <t>Alat/Aksesori (non-minuman)</t>
        </is>
      </c>
      <c r="L58" s="5" t="inlineStr">
        <is>
          <t>—</t>
        </is>
      </c>
      <c r="M58" s="4" t="inlineStr">
        <is>
          <t>—</t>
        </is>
      </c>
    </row>
    <row r="59">
      <c r="A59" s="4" t="n">
        <v>55</v>
      </c>
      <c r="B59" s="5" t="inlineStr">
        <is>
          <t>Homelab</t>
        </is>
      </c>
      <c r="C59" s="5" t="inlineStr">
        <is>
          <t>100% Organic Healthy Palm Sugar - Organik Gula Aren Premium</t>
        </is>
      </c>
      <c r="D59" s="6" t="inlineStr">
        <is>
          <t>1730557013449606724</t>
        </is>
      </c>
      <c r="E59" s="4" t="inlineStr">
        <is>
          <t>—</t>
        </is>
      </c>
      <c r="F59" s="5" t="inlineStr">
        <is>
          <t>Tidak tertera</t>
        </is>
      </c>
      <c r="G59" s="7" t="n">
        <v>29982</v>
      </c>
      <c r="H59" s="7">
        <f>IF(OR($E59="—",$G59="—"),"—",ROUND($G59/$E59,0))</f>
        <v/>
      </c>
      <c r="I59" s="8" t="n">
        <v>449732</v>
      </c>
      <c r="J59" s="7" t="n">
        <v>15</v>
      </c>
      <c r="K59" s="5" t="inlineStr">
        <is>
          <t>Lainnya</t>
        </is>
      </c>
      <c r="L59" s="5" t="inlineStr">
        <is>
          <t>—</t>
        </is>
      </c>
      <c r="M59" s="4" t="inlineStr">
        <is>
          <t>—</t>
        </is>
      </c>
    </row>
    <row r="60">
      <c r="A60" s="4" t="n">
        <v>56</v>
      </c>
      <c r="B60" s="5" t="inlineStr">
        <is>
          <t>Homelab</t>
        </is>
      </c>
      <c r="C60" s="5" t="inlineStr">
        <is>
          <t>Homelab Matcha Bowl no.9 \ | Mangkuk Matcha Ceremonial Artisan Pour Shape</t>
        </is>
      </c>
      <c r="D60" s="6" t="inlineStr">
        <is>
          <t>1734388008163837508</t>
        </is>
      </c>
      <c r="E60" s="4" t="inlineStr">
        <is>
          <t>—</t>
        </is>
      </c>
      <c r="F60" s="5" t="inlineStr">
        <is>
          <t>Tidak tertera</t>
        </is>
      </c>
      <c r="G60" s="7" t="n">
        <v>147951</v>
      </c>
      <c r="H60" s="7">
        <f>IF(OR($E60="—",$G60="—"),"—",ROUND($G60/$E60,0))</f>
        <v/>
      </c>
      <c r="I60" s="8" t="n">
        <v>443854</v>
      </c>
      <c r="J60" s="7" t="n">
        <v>3</v>
      </c>
      <c r="K60" s="5" t="inlineStr">
        <is>
          <t>Alat/Aksesori (non-minuman)</t>
        </is>
      </c>
      <c r="L60" s="5" t="inlineStr">
        <is>
          <t>—</t>
        </is>
      </c>
      <c r="M60" s="4" t="inlineStr">
        <is>
          <t>—</t>
        </is>
      </c>
    </row>
    <row r="61">
      <c r="A61" s="4" t="n">
        <v>57</v>
      </c>
      <c r="B61" s="5" t="inlineStr">
        <is>
          <t>Homelab</t>
        </is>
      </c>
      <c r="C61" s="5" t="inlineStr">
        <is>
          <t>2 Bks Bubuk / Powder Chocolate Premium</t>
        </is>
      </c>
      <c r="D61" s="6" t="inlineStr">
        <is>
          <t>1730557020021098052</t>
        </is>
      </c>
      <c r="E61" s="4" t="inlineStr">
        <is>
          <t>—</t>
        </is>
      </c>
      <c r="F61" s="5" t="inlineStr">
        <is>
          <t>Tidak tertera</t>
        </is>
      </c>
      <c r="G61" s="7" t="n">
        <v>180106</v>
      </c>
      <c r="H61" s="7">
        <f>IF(OR($E61="—",$G61="—"),"—",ROUND($G61/$E61,0))</f>
        <v/>
      </c>
      <c r="I61" s="8" t="n">
        <v>360212</v>
      </c>
      <c r="J61" s="7" t="n">
        <v>2</v>
      </c>
      <c r="K61" s="5" t="inlineStr">
        <is>
          <t>Chocolate</t>
        </is>
      </c>
      <c r="L61" s="5" t="inlineStr">
        <is>
          <t>—</t>
        </is>
      </c>
      <c r="M61" s="4" t="inlineStr">
        <is>
          <t>—</t>
        </is>
      </c>
    </row>
    <row r="62">
      <c r="A62" s="4" t="n">
        <v>58</v>
      </c>
      <c r="B62" s="5" t="inlineStr">
        <is>
          <t>Homelab</t>
        </is>
      </c>
      <c r="C62" s="5" t="inlineStr">
        <is>
          <t>Homelab Matcha Bowl no.8 \ | Mangkuk Matcha Ceremonial Artisan Shape</t>
        </is>
      </c>
      <c r="D62" s="6" t="inlineStr">
        <is>
          <t>1734387998898488900</t>
        </is>
      </c>
      <c r="E62" s="4" t="inlineStr">
        <is>
          <t>—</t>
        </is>
      </c>
      <c r="F62" s="5" t="inlineStr">
        <is>
          <t>Tidak tertera</t>
        </is>
      </c>
      <c r="G62" s="7" t="n">
        <v>173983</v>
      </c>
      <c r="H62" s="7">
        <f>IF(OR($E62="—",$G62="—"),"—",ROUND($G62/$E62,0))</f>
        <v/>
      </c>
      <c r="I62" s="8" t="n">
        <v>347967</v>
      </c>
      <c r="J62" s="7" t="n">
        <v>2</v>
      </c>
      <c r="K62" s="5" t="inlineStr">
        <is>
          <t>Alat/Aksesori (non-minuman)</t>
        </is>
      </c>
      <c r="L62" s="5" t="inlineStr">
        <is>
          <t>—</t>
        </is>
      </c>
      <c r="M62" s="4" t="inlineStr">
        <is>
          <t>—</t>
        </is>
      </c>
    </row>
    <row r="63">
      <c r="A63" s="4" t="n">
        <v>59</v>
      </c>
      <c r="B63" s="5" t="inlineStr">
        <is>
          <t>Homelab</t>
        </is>
      </c>
      <c r="C63" s="5" t="inlineStr">
        <is>
          <t>PROMO Paket Bubuk Matcha / Hojicha / Chocolate - PREMIUM GRADE</t>
        </is>
      </c>
      <c r="D63" s="6" t="inlineStr">
        <is>
          <t>1730557021455418948</t>
        </is>
      </c>
      <c r="E63" s="4" t="inlineStr">
        <is>
          <t>—</t>
        </is>
      </c>
      <c r="F63" s="5" t="inlineStr">
        <is>
          <t>Tidak tertera</t>
        </is>
      </c>
      <c r="G63" s="7" t="n">
        <v>277900</v>
      </c>
      <c r="H63" s="7">
        <f>IF(OR($E63="—",$G63="—"),"—",ROUND($G63/$E63,0))</f>
        <v/>
      </c>
      <c r="I63" s="8" t="n">
        <v>277900</v>
      </c>
      <c r="J63" s="7" t="n">
        <v>1</v>
      </c>
      <c r="K63" s="5" t="inlineStr">
        <is>
          <t>Hojicha</t>
        </is>
      </c>
      <c r="L63" s="5" t="inlineStr">
        <is>
          <t>—</t>
        </is>
      </c>
      <c r="M63" s="4" t="inlineStr">
        <is>
          <t>—</t>
        </is>
      </c>
    </row>
    <row r="64">
      <c r="A64" s="4" t="n">
        <v>60</v>
      </c>
      <c r="B64" s="5" t="inlineStr">
        <is>
          <t>Homelab</t>
        </is>
      </c>
      <c r="C64" s="5" t="inlineStr">
        <is>
          <t>Homelab Matcha Bowl no.1 + Chasen Holder \ | Mangkuk Matcha Ceremonial</t>
        </is>
      </c>
      <c r="D64" s="6" t="inlineStr">
        <is>
          <t>1734381045833369156</t>
        </is>
      </c>
      <c r="E64" s="4" t="inlineStr">
        <is>
          <t>—</t>
        </is>
      </c>
      <c r="F64" s="5" t="inlineStr">
        <is>
          <t>Tidak tertera</t>
        </is>
      </c>
      <c r="G64" s="7" t="n">
        <v>268511</v>
      </c>
      <c r="H64" s="7">
        <f>IF(OR($E64="—",$G64="—"),"—",ROUND($G64/$E64,0))</f>
        <v/>
      </c>
      <c r="I64" s="8" t="n">
        <v>268511</v>
      </c>
      <c r="J64" s="7" t="n">
        <v>1</v>
      </c>
      <c r="K64" s="5" t="inlineStr">
        <is>
          <t>Alat/Aksesori (non-minuman)</t>
        </is>
      </c>
      <c r="L64" s="5" t="inlineStr">
        <is>
          <t>—</t>
        </is>
      </c>
      <c r="M64" s="4" t="inlineStr">
        <is>
          <t>—</t>
        </is>
      </c>
    </row>
    <row r="65">
      <c r="A65" s="4" t="n">
        <v>61</v>
      </c>
      <c r="B65" s="5" t="inlineStr">
        <is>
          <t>Homelab</t>
        </is>
      </c>
      <c r="C65" s="5" t="inlineStr">
        <is>
          <t>Homelab Matcha Ceramic Canister / Wadah Bubuk Matcha Keramik</t>
        </is>
      </c>
      <c r="D65" s="6" t="inlineStr">
        <is>
          <t>1730557159378028100</t>
        </is>
      </c>
      <c r="E65" s="4" t="inlineStr">
        <is>
          <t>—</t>
        </is>
      </c>
      <c r="F65" s="5" t="inlineStr">
        <is>
          <t>Canister</t>
        </is>
      </c>
      <c r="G65" s="7" t="n">
        <v>28492</v>
      </c>
      <c r="H65" s="7">
        <f>IF(OR($E65="—",$G65="—"),"—",ROUND($G65/$E65,0))</f>
        <v/>
      </c>
      <c r="I65" s="8" t="n">
        <v>256431</v>
      </c>
      <c r="J65" s="7" t="n">
        <v>9</v>
      </c>
      <c r="K65" s="5" t="inlineStr">
        <is>
          <t>Alat/Aksesori (non-minuman)</t>
        </is>
      </c>
      <c r="L65" s="5" t="inlineStr">
        <is>
          <t>—</t>
        </is>
      </c>
      <c r="M65" s="4" t="inlineStr">
        <is>
          <t>—</t>
        </is>
      </c>
    </row>
    <row r="66">
      <c r="A66" s="4" t="n">
        <v>62</v>
      </c>
      <c r="B66" s="5" t="inlineStr">
        <is>
          <t>Homelab</t>
        </is>
      </c>
      <c r="C66" s="5" t="inlineStr">
        <is>
          <t>Homelab – Ujinoko Uji Kyoto Premium Ceremonial Matcha (20g)</t>
        </is>
      </c>
      <c r="D66" s="6" t="inlineStr">
        <is>
          <t>1734489935564080708</t>
        </is>
      </c>
      <c r="E66" s="4" t="n">
        <v>20</v>
      </c>
      <c r="F66" s="5" t="inlineStr">
        <is>
          <t>Tidak tertera</t>
        </is>
      </c>
      <c r="G66" s="7" t="n">
        <v>240243</v>
      </c>
      <c r="H66" s="7">
        <f>IF(OR($E66="—",$G66="—"),"—",ROUND($G66/$E66,0))</f>
        <v/>
      </c>
      <c r="I66" s="8" t="n">
        <v>240243</v>
      </c>
      <c r="J66" s="7" t="n">
        <v>1</v>
      </c>
      <c r="K66" s="5" t="inlineStr">
        <is>
          <t>Matcha</t>
        </is>
      </c>
      <c r="L66" s="5" t="inlineStr">
        <is>
          <t>Ceremonial</t>
        </is>
      </c>
      <c r="M66" s="9" t="n">
        <v>1</v>
      </c>
    </row>
    <row r="67">
      <c r="A67" s="4" t="n">
        <v>63</v>
      </c>
      <c r="B67" s="5" t="inlineStr">
        <is>
          <t>Homelab</t>
        </is>
      </c>
      <c r="C67" s="5" t="inlineStr">
        <is>
          <t>Homelab Chasen / Matcha Whisk &amp; Scoop - Premium Bamboo</t>
        </is>
      </c>
      <c r="D67" s="6" t="inlineStr">
        <is>
          <t>1729430877946874436</t>
        </is>
      </c>
      <c r="E67" s="4" t="inlineStr">
        <is>
          <t>—</t>
        </is>
      </c>
      <c r="F67" s="5" t="inlineStr">
        <is>
          <t>Tidak tertera</t>
        </is>
      </c>
      <c r="G67" s="7" t="n">
        <v>230889</v>
      </c>
      <c r="H67" s="7">
        <f>IF(OR($E67="—",$G67="—"),"—",ROUND($G67/$E67,0))</f>
        <v/>
      </c>
      <c r="I67" s="8" t="n">
        <v>230889</v>
      </c>
      <c r="J67" s="7" t="n">
        <v>1</v>
      </c>
      <c r="K67" s="5" t="inlineStr">
        <is>
          <t>Alat/Aksesori (non-minuman)</t>
        </is>
      </c>
      <c r="L67" s="5" t="inlineStr">
        <is>
          <t>—</t>
        </is>
      </c>
      <c r="M67" s="4" t="inlineStr">
        <is>
          <t>—</t>
        </is>
      </c>
    </row>
    <row r="68">
      <c r="A68" s="4" t="n">
        <v>64</v>
      </c>
      <c r="B68" s="5" t="inlineStr">
        <is>
          <t>Homelab</t>
        </is>
      </c>
      <c r="C68" s="5" t="inlineStr">
        <is>
          <t>Homelab Matcha Whisk Holder Glass Stand - Dudukan / Tatakan Pengaduk Matcha Kaca</t>
        </is>
      </c>
      <c r="D68" s="6" t="inlineStr">
        <is>
          <t>1730557157069850180</t>
        </is>
      </c>
      <c r="E68" s="4" t="inlineStr">
        <is>
          <t>—</t>
        </is>
      </c>
      <c r="F68" s="5" t="inlineStr">
        <is>
          <t>Tidak tertera</t>
        </is>
      </c>
      <c r="G68" s="7" t="n">
        <v>111305</v>
      </c>
      <c r="H68" s="7">
        <f>IF(OR($E68="—",$G68="—"),"—",ROUND($G68/$E68,0))</f>
        <v/>
      </c>
      <c r="I68" s="8" t="n">
        <v>222610</v>
      </c>
      <c r="J68" s="7" t="n">
        <v>2</v>
      </c>
      <c r="K68" s="5" t="inlineStr">
        <is>
          <t>Alat/Aksesori (non-minuman)</t>
        </is>
      </c>
      <c r="L68" s="5" t="inlineStr">
        <is>
          <t>—</t>
        </is>
      </c>
      <c r="M68" s="4" t="inlineStr">
        <is>
          <t>—</t>
        </is>
      </c>
    </row>
    <row r="69">
      <c r="A69" s="4" t="n">
        <v>65</v>
      </c>
      <c r="B69" s="5" t="inlineStr">
        <is>
          <t>Homelab</t>
        </is>
      </c>
      <c r="C69" s="5" t="inlineStr">
        <is>
          <t>Homelab Matcha Measuring Spoon / Sendok Takar - High Quality Stainless Steel</t>
        </is>
      </c>
      <c r="D69" s="6" t="inlineStr">
        <is>
          <t>1730557156973315652</t>
        </is>
      </c>
      <c r="E69" s="4" t="inlineStr">
        <is>
          <t>—</t>
        </is>
      </c>
      <c r="F69" s="5" t="inlineStr">
        <is>
          <t>Tidak tertera</t>
        </is>
      </c>
      <c r="G69" s="7" t="n">
        <v>43782</v>
      </c>
      <c r="H69" s="7">
        <f>IF(OR($E69="—",$G69="—"),"—",ROUND($G69/$E69,0))</f>
        <v/>
      </c>
      <c r="I69" s="8" t="n">
        <v>218907</v>
      </c>
      <c r="J69" s="7" t="n">
        <v>5</v>
      </c>
      <c r="K69" s="5" t="inlineStr">
        <is>
          <t>Alat/Aksesori (non-minuman)</t>
        </is>
      </c>
      <c r="L69" s="5" t="inlineStr">
        <is>
          <t>—</t>
        </is>
      </c>
      <c r="M69" s="4" t="inlineStr">
        <is>
          <t>—</t>
        </is>
      </c>
    </row>
    <row r="70">
      <c r="A70" s="4" t="n">
        <v>66</v>
      </c>
      <c r="B70" s="5" t="inlineStr">
        <is>
          <t>Homelab</t>
        </is>
      </c>
      <c r="C70" s="5" t="inlineStr">
        <is>
          <t>Bubuk Minuman GENMAICHA LATTE - Premium Drink Powder 200g</t>
        </is>
      </c>
      <c r="D70" s="6" t="inlineStr">
        <is>
          <t>1729507704042981956</t>
        </is>
      </c>
      <c r="E70" s="4" t="n">
        <v>200</v>
      </c>
      <c r="F70" s="5" t="inlineStr">
        <is>
          <t>Tidak tertera</t>
        </is>
      </c>
      <c r="G70" s="7" t="n">
        <v>98116</v>
      </c>
      <c r="H70" s="7">
        <f>IF(OR($E70="—",$G70="—"),"—",ROUND($G70/$E70,0))</f>
        <v/>
      </c>
      <c r="I70" s="8" t="n">
        <v>196232</v>
      </c>
      <c r="J70" s="7" t="n">
        <v>2</v>
      </c>
      <c r="K70" s="5" t="inlineStr">
        <is>
          <t>Genmaicha (matcha iri)</t>
        </is>
      </c>
      <c r="L70" s="5" t="inlineStr">
        <is>
          <t>—</t>
        </is>
      </c>
      <c r="M70" s="4" t="inlineStr">
        <is>
          <t>—</t>
        </is>
      </c>
    </row>
    <row r="71">
      <c r="A71" s="4" t="n">
        <v>67</v>
      </c>
      <c r="B71" s="5" t="inlineStr">
        <is>
          <t>Homelab</t>
        </is>
      </c>
      <c r="C71" s="5" t="inlineStr">
        <is>
          <t>Homelab Tea Strainer Premium Mesh \ | Saringan Teh Stainless Steel</t>
        </is>
      </c>
      <c r="D71" s="6" t="inlineStr">
        <is>
          <t>1734440308738524740</t>
        </is>
      </c>
      <c r="E71" s="4" t="inlineStr">
        <is>
          <t>—</t>
        </is>
      </c>
      <c r="F71" s="5" t="inlineStr">
        <is>
          <t>Tidak tertera</t>
        </is>
      </c>
      <c r="G71" s="7" t="n">
        <v>97307</v>
      </c>
      <c r="H71" s="7">
        <f>IF(OR($E71="—",$G71="—"),"—",ROUND($G71/$E71,0))</f>
        <v/>
      </c>
      <c r="I71" s="8" t="n">
        <v>194614</v>
      </c>
      <c r="J71" s="7" t="n">
        <v>2</v>
      </c>
      <c r="K71" s="5" t="inlineStr">
        <is>
          <t>Alat/Aksesori (non-minuman)</t>
        </is>
      </c>
      <c r="L71" s="5" t="inlineStr">
        <is>
          <t>—</t>
        </is>
      </c>
      <c r="M71" s="4" t="inlineStr">
        <is>
          <t>—</t>
        </is>
      </c>
    </row>
    <row r="72">
      <c r="A72" s="4" t="n">
        <v>68</v>
      </c>
      <c r="B72" s="5" t="inlineStr">
        <is>
          <t>Homelab</t>
        </is>
      </c>
      <c r="C72" s="5" t="inlineStr">
        <is>
          <t>100% Pure Hojicha - Bubuk Hojicha Premium Grade</t>
        </is>
      </c>
      <c r="D72" s="6" t="inlineStr">
        <is>
          <t>1729507684937206340</t>
        </is>
      </c>
      <c r="E72" s="4" t="inlineStr">
        <is>
          <t>—</t>
        </is>
      </c>
      <c r="F72" s="5" t="inlineStr">
        <is>
          <t>Tidak tertera</t>
        </is>
      </c>
      <c r="G72" s="7" t="n">
        <v>192098</v>
      </c>
      <c r="H72" s="7">
        <f>IF(OR($E72="—",$G72="—"),"—",ROUND($G72/$E72,0))</f>
        <v/>
      </c>
      <c r="I72" s="8" t="n">
        <v>192098</v>
      </c>
      <c r="J72" s="7" t="n">
        <v>1</v>
      </c>
      <c r="K72" s="5" t="inlineStr">
        <is>
          <t>Hojicha</t>
        </is>
      </c>
      <c r="L72" s="5" t="inlineStr">
        <is>
          <t>—</t>
        </is>
      </c>
      <c r="M72" s="4" t="inlineStr">
        <is>
          <t>—</t>
        </is>
      </c>
    </row>
    <row r="73">
      <c r="A73" s="4" t="n">
        <v>69</v>
      </c>
      <c r="B73" s="5" t="inlineStr">
        <is>
          <t>Homelab</t>
        </is>
      </c>
      <c r="C73" s="5" t="inlineStr">
        <is>
          <t>Full-Hand Chasen / Matcha Whisk &amp; Scoop - Premium Golden Bamboo</t>
        </is>
      </c>
      <c r="D73" s="6" t="inlineStr">
        <is>
          <t>1731183868201698884</t>
        </is>
      </c>
      <c r="E73" s="4" t="inlineStr">
        <is>
          <t>—</t>
        </is>
      </c>
      <c r="F73" s="5" t="inlineStr">
        <is>
          <t>Tidak tertera</t>
        </is>
      </c>
      <c r="G73" s="7" t="n">
        <v>191434</v>
      </c>
      <c r="H73" s="7">
        <f>IF(OR($E73="—",$G73="—"),"—",ROUND($G73/$E73,0))</f>
        <v/>
      </c>
      <c r="I73" s="8" t="n">
        <v>191434</v>
      </c>
      <c r="J73" s="7" t="n">
        <v>1</v>
      </c>
      <c r="K73" s="5" t="inlineStr">
        <is>
          <t>Alat/Aksesori (non-minuman)</t>
        </is>
      </c>
      <c r="L73" s="5" t="inlineStr">
        <is>
          <t>—</t>
        </is>
      </c>
      <c r="M73" s="4" t="inlineStr">
        <is>
          <t>—</t>
        </is>
      </c>
    </row>
    <row r="74">
      <c r="A74" s="4" t="n">
        <v>70</v>
      </c>
      <c r="B74" s="5" t="inlineStr">
        <is>
          <t>Homelab</t>
        </is>
      </c>
      <c r="C74" s="5" t="inlineStr">
        <is>
          <t>3x Pure Taro Premium - 100g / 3 Toples Bubuk Taro Paket Promo</t>
        </is>
      </c>
      <c r="D74" s="6" t="inlineStr">
        <is>
          <t>1730557020323284548</t>
        </is>
      </c>
      <c r="E74" s="4" t="n">
        <v>100</v>
      </c>
      <c r="F74" s="5" t="inlineStr">
        <is>
          <t>Jar</t>
        </is>
      </c>
      <c r="G74" s="7" t="n">
        <v>181002</v>
      </c>
      <c r="H74" s="7">
        <f>IF(OR($E74="—",$G74="—"),"—",ROUND($G74/$E74,0))</f>
        <v/>
      </c>
      <c r="I74" s="8" t="n">
        <v>181002</v>
      </c>
      <c r="J74" s="7" t="n">
        <v>1</v>
      </c>
      <c r="K74" s="5" t="inlineStr">
        <is>
          <t>Taro</t>
        </is>
      </c>
      <c r="L74" s="5" t="inlineStr">
        <is>
          <t>—</t>
        </is>
      </c>
      <c r="M74" s="4" t="inlineStr">
        <is>
          <t>—</t>
        </is>
      </c>
    </row>
    <row r="75">
      <c r="A75" s="4" t="n">
        <v>71</v>
      </c>
      <c r="B75" s="5" t="inlineStr">
        <is>
          <t>Homelab</t>
        </is>
      </c>
      <c r="C75" s="5" t="inlineStr">
        <is>
          <t>Homelab Matcha Bowl no.10 \ | Mangkuk Matcha Ceremonial Premium Round</t>
        </is>
      </c>
      <c r="D75" s="6" t="inlineStr">
        <is>
          <t>1734388285984441924</t>
        </is>
      </c>
      <c r="E75" s="4" t="inlineStr">
        <is>
          <t>—</t>
        </is>
      </c>
      <c r="F75" s="5" t="inlineStr">
        <is>
          <t>Tidak tertera</t>
        </is>
      </c>
      <c r="G75" s="7" t="n">
        <v>176156</v>
      </c>
      <c r="H75" s="7">
        <f>IF(OR($E75="—",$G75="—"),"—",ROUND($G75/$E75,0))</f>
        <v/>
      </c>
      <c r="I75" s="8" t="n">
        <v>176156</v>
      </c>
      <c r="J75" s="7" t="n">
        <v>1</v>
      </c>
      <c r="K75" s="5" t="inlineStr">
        <is>
          <t>Alat/Aksesori (non-minuman)</t>
        </is>
      </c>
      <c r="L75" s="5" t="inlineStr">
        <is>
          <t>—</t>
        </is>
      </c>
      <c r="M75" s="4" t="inlineStr">
        <is>
          <t>—</t>
        </is>
      </c>
    </row>
    <row r="76">
      <c r="A76" s="4" t="n">
        <v>72</v>
      </c>
      <c r="B76" s="5" t="inlineStr">
        <is>
          <t>Homelab</t>
        </is>
      </c>
      <c r="C76" s="5" t="inlineStr">
        <is>
          <t>Homelab Bubuk Minuman Red Velvet Latte Premium Powder 200G</t>
        </is>
      </c>
      <c r="D76" s="6" t="inlineStr">
        <is>
          <t>1729507668598557252</t>
        </is>
      </c>
      <c r="E76" s="4" t="n">
        <v>200</v>
      </c>
      <c r="F76" s="5" t="inlineStr">
        <is>
          <t>Tidak tertera</t>
        </is>
      </c>
      <c r="G76" s="7" t="n">
        <v>80448</v>
      </c>
      <c r="H76" s="7">
        <f>IF(OR($E76="—",$G76="—"),"—",ROUND($G76/$E76,0))</f>
        <v/>
      </c>
      <c r="I76" s="8" t="n">
        <v>160896</v>
      </c>
      <c r="J76" s="7" t="n">
        <v>2</v>
      </c>
      <c r="K76" s="5" t="inlineStr">
        <is>
          <t>Lainnya</t>
        </is>
      </c>
      <c r="L76" s="5" t="inlineStr">
        <is>
          <t>—</t>
        </is>
      </c>
      <c r="M76" s="4" t="inlineStr">
        <is>
          <t>—</t>
        </is>
      </c>
    </row>
    <row r="77">
      <c r="A77" s="4" t="n">
        <v>73</v>
      </c>
      <c r="B77" s="5" t="inlineStr">
        <is>
          <t>Homelab</t>
        </is>
      </c>
      <c r="C77" s="5" t="inlineStr">
        <is>
          <t>Homelab – Tenarai Uji Kyoto Ceremonial Matcha High Grade (20g)</t>
        </is>
      </c>
      <c r="D77" s="6" t="inlineStr">
        <is>
          <t>1734498182578406980</t>
        </is>
      </c>
      <c r="E77" s="4" t="n">
        <v>20</v>
      </c>
      <c r="F77" s="5" t="inlineStr">
        <is>
          <t>Tidak tertera</t>
        </is>
      </c>
      <c r="G77" s="7" t="n">
        <v>140794</v>
      </c>
      <c r="H77" s="7">
        <f>IF(OR($E77="—",$G77="—"),"—",ROUND($G77/$E77,0))</f>
        <v/>
      </c>
      <c r="I77" s="8" t="n">
        <v>140794</v>
      </c>
      <c r="J77" s="7" t="n">
        <v>1</v>
      </c>
      <c r="K77" s="5" t="inlineStr">
        <is>
          <t>Matcha</t>
        </is>
      </c>
      <c r="L77" s="5" t="inlineStr">
        <is>
          <t>Ceremonial</t>
        </is>
      </c>
      <c r="M77" s="9" t="n">
        <v>1</v>
      </c>
    </row>
    <row r="78">
      <c r="A78" s="4" t="n">
        <v>74</v>
      </c>
      <c r="B78" s="5" t="inlineStr">
        <is>
          <t>Homelab</t>
        </is>
      </c>
      <c r="C78" s="5" t="inlineStr">
        <is>
          <t>Homelab Bubuk Coklat / Powder Chocolate - 50G</t>
        </is>
      </c>
      <c r="D78" s="6" t="inlineStr">
        <is>
          <t>1729668283027327556</t>
        </is>
      </c>
      <c r="E78" s="4" t="n">
        <v>50</v>
      </c>
      <c r="F78" s="5" t="inlineStr">
        <is>
          <t>Tidak tertera</t>
        </is>
      </c>
      <c r="G78" s="7" t="n">
        <v>12045</v>
      </c>
      <c r="H78" s="7">
        <f>IF(OR($E78="—",$G78="—"),"—",ROUND($G78/$E78,0))</f>
        <v/>
      </c>
      <c r="I78" s="8" t="n">
        <v>132491</v>
      </c>
      <c r="J78" s="7" t="n">
        <v>11</v>
      </c>
      <c r="K78" s="5" t="inlineStr">
        <is>
          <t>Chocolate</t>
        </is>
      </c>
      <c r="L78" s="5" t="inlineStr">
        <is>
          <t>—</t>
        </is>
      </c>
      <c r="M78" s="4" t="inlineStr">
        <is>
          <t>—</t>
        </is>
      </c>
    </row>
    <row r="79">
      <c r="A79" s="4" t="n">
        <v>75</v>
      </c>
      <c r="B79" s="5" t="inlineStr">
        <is>
          <t>Homelab</t>
        </is>
      </c>
      <c r="C79" s="5" t="inlineStr">
        <is>
          <t>Tea Cloth / Tea Towel - Homelab Serbet Teh / Kain Teh / Kain Lap Matcha</t>
        </is>
      </c>
      <c r="D79" s="6" t="inlineStr">
        <is>
          <t>1731340291259598404</t>
        </is>
      </c>
      <c r="E79" s="4" t="inlineStr">
        <is>
          <t>—</t>
        </is>
      </c>
      <c r="F79" s="5" t="inlineStr">
        <is>
          <t>Tidak tertera</t>
        </is>
      </c>
      <c r="G79" s="7" t="n">
        <v>31890</v>
      </c>
      <c r="H79" s="7">
        <f>IF(OR($E79="—",$G79="—"),"—",ROUND($G79/$E79,0))</f>
        <v/>
      </c>
      <c r="I79" s="8" t="n">
        <v>127560</v>
      </c>
      <c r="J79" s="7" t="n">
        <v>4</v>
      </c>
      <c r="K79" s="5" t="inlineStr">
        <is>
          <t>Alat/Aksesori (non-minuman)</t>
        </is>
      </c>
      <c r="L79" s="5" t="inlineStr">
        <is>
          <t>—</t>
        </is>
      </c>
      <c r="M79" s="4" t="inlineStr">
        <is>
          <t>—</t>
        </is>
      </c>
    </row>
    <row r="80">
      <c r="A80" s="4" t="n">
        <v>76</v>
      </c>
      <c r="B80" s="5" t="inlineStr">
        <is>
          <t>Homelab</t>
        </is>
      </c>
      <c r="C80" s="5" t="inlineStr">
        <is>
          <t>Bubuk Minuman PANDAN LATTE - Premium Drink Powder 200g</t>
        </is>
      </c>
      <c r="D80" s="6" t="inlineStr">
        <is>
          <t>1729507700297534020</t>
        </is>
      </c>
      <c r="E80" s="4" t="n">
        <v>200</v>
      </c>
      <c r="F80" s="5" t="inlineStr">
        <is>
          <t>Tidak tertera</t>
        </is>
      </c>
      <c r="G80" s="7" t="n">
        <v>126137</v>
      </c>
      <c r="H80" s="7">
        <f>IF(OR($E80="—",$G80="—"),"—",ROUND($G80/$E80,0))</f>
        <v/>
      </c>
      <c r="I80" s="8" t="n">
        <v>126137</v>
      </c>
      <c r="J80" s="7" t="n">
        <v>1</v>
      </c>
      <c r="K80" s="5" t="inlineStr">
        <is>
          <t>Lainnya</t>
        </is>
      </c>
      <c r="L80" s="5" t="inlineStr">
        <is>
          <t>—</t>
        </is>
      </c>
      <c r="M80" s="4" t="inlineStr">
        <is>
          <t>—</t>
        </is>
      </c>
    </row>
    <row r="81">
      <c r="A81" s="4" t="n">
        <v>77</v>
      </c>
      <c r="B81" s="5" t="inlineStr">
        <is>
          <t>Homelab</t>
        </is>
      </c>
      <c r="C81" s="5" t="inlineStr">
        <is>
          <t>Homelab Precision Stainless Steel Measuring Scoop / Spoon\ | Coffee &amp; Matcha Dose Spoon 15ml / 30ml</t>
        </is>
      </c>
      <c r="D81" s="6" t="inlineStr">
        <is>
          <t>1734644611647047236</t>
        </is>
      </c>
      <c r="E81" s="4" t="inlineStr">
        <is>
          <t>—</t>
        </is>
      </c>
      <c r="F81" s="5" t="inlineStr">
        <is>
          <t>Tidak tertera</t>
        </is>
      </c>
      <c r="G81" s="7" t="n">
        <v>101830</v>
      </c>
      <c r="H81" s="7">
        <f>IF(OR($E81="—",$G81="—"),"—",ROUND($G81/$E81,0))</f>
        <v/>
      </c>
      <c r="I81" s="8" t="n">
        <v>101830</v>
      </c>
      <c r="J81" s="7" t="n">
        <v>1</v>
      </c>
      <c r="K81" s="5" t="inlineStr">
        <is>
          <t>Alat/Aksesori (non-minuman)</t>
        </is>
      </c>
      <c r="L81" s="5" t="inlineStr">
        <is>
          <t>—</t>
        </is>
      </c>
      <c r="M81" s="4" t="inlineStr">
        <is>
          <t>—</t>
        </is>
      </c>
    </row>
    <row r="82">
      <c r="A82" s="4" t="n">
        <v>78</v>
      </c>
      <c r="B82" s="5" t="inlineStr">
        <is>
          <t>Homelab</t>
        </is>
      </c>
      <c r="C82" s="5" t="inlineStr">
        <is>
          <t>Bubuk Minuman BANANA LATTE - Premium Drink Powder 200g</t>
        </is>
      </c>
      <c r="D82" s="6" t="inlineStr">
        <is>
          <t>1729507696959785540</t>
        </is>
      </c>
      <c r="E82" s="4" t="n">
        <v>200</v>
      </c>
      <c r="F82" s="5" t="inlineStr">
        <is>
          <t>Tidak tertera</t>
        </is>
      </c>
      <c r="G82" s="7" t="n">
        <v>89501</v>
      </c>
      <c r="H82" s="7">
        <f>IF(OR($E82="—",$G82="—"),"—",ROUND($G82/$E82,0))</f>
        <v/>
      </c>
      <c r="I82" s="8" t="n">
        <v>89501</v>
      </c>
      <c r="J82" s="7" t="n">
        <v>1</v>
      </c>
      <c r="K82" s="5" t="inlineStr">
        <is>
          <t>Lainnya</t>
        </is>
      </c>
      <c r="L82" s="5" t="inlineStr">
        <is>
          <t>—</t>
        </is>
      </c>
      <c r="M82" s="4" t="inlineStr">
        <is>
          <t>—</t>
        </is>
      </c>
    </row>
    <row r="83">
      <c r="A83" s="4" t="n">
        <v>79</v>
      </c>
      <c r="B83" s="5" t="inlineStr">
        <is>
          <t>Homelab</t>
        </is>
      </c>
      <c r="C83" s="5" t="inlineStr">
        <is>
          <t>Bubuk Minuman RED VELVET LATTE Premium Powder 200g</t>
        </is>
      </c>
      <c r="D83" s="6" t="inlineStr">
        <is>
          <t>1731183877741053508</t>
        </is>
      </c>
      <c r="E83" s="4" t="n">
        <v>200</v>
      </c>
      <c r="F83" s="5" t="inlineStr">
        <is>
          <t>Tidak tertera</t>
        </is>
      </c>
      <c r="G83" s="7" t="n">
        <v>70252</v>
      </c>
      <c r="H83" s="7">
        <f>IF(OR($E83="—",$G83="—"),"—",ROUND($G83/$E83,0))</f>
        <v/>
      </c>
      <c r="I83" s="8" t="n">
        <v>70252</v>
      </c>
      <c r="J83" s="7" t="n">
        <v>1</v>
      </c>
      <c r="K83" s="5" t="inlineStr">
        <is>
          <t>Lainnya</t>
        </is>
      </c>
      <c r="L83" s="5" t="inlineStr">
        <is>
          <t>—</t>
        </is>
      </c>
      <c r="M83" s="4" t="inlineStr">
        <is>
          <t>—</t>
        </is>
      </c>
    </row>
    <row r="84">
      <c r="A84" s="4" t="n">
        <v>80</v>
      </c>
      <c r="B84" s="5" t="inlineStr">
        <is>
          <t>Homelab</t>
        </is>
      </c>
      <c r="C84" s="5" t="inlineStr">
        <is>
          <t>Homelab Matcha Sifter dengan Dudukan \ | Saringan Matcha Stainless Steel</t>
        </is>
      </c>
      <c r="D84" s="6" t="inlineStr">
        <is>
          <t>1734440279996073540</t>
        </is>
      </c>
      <c r="E84" s="4" t="inlineStr">
        <is>
          <t>—</t>
        </is>
      </c>
      <c r="F84" s="5" t="inlineStr">
        <is>
          <t>Tidak tertera</t>
        </is>
      </c>
      <c r="G84" s="7" t="n">
        <v>62664</v>
      </c>
      <c r="H84" s="7">
        <f>IF(OR($E84="—",$G84="—"),"—",ROUND($G84/$E84,0))</f>
        <v/>
      </c>
      <c r="I84" s="8" t="n">
        <v>62664</v>
      </c>
      <c r="J84" s="7" t="n">
        <v>1</v>
      </c>
      <c r="K84" s="5" t="inlineStr">
        <is>
          <t>Alat/Aksesori (non-minuman)</t>
        </is>
      </c>
      <c r="L84" s="5" t="inlineStr">
        <is>
          <t>—</t>
        </is>
      </c>
      <c r="M84" s="4" t="inlineStr">
        <is>
          <t>—</t>
        </is>
      </c>
    </row>
    <row r="85">
      <c r="A85" s="13" t="n"/>
      <c r="B85" s="14" t="inlineStr">
        <is>
          <t>TOTAL</t>
        </is>
      </c>
      <c r="C85" s="13" t="n"/>
      <c r="D85" s="13" t="n"/>
      <c r="E85" s="13" t="n"/>
      <c r="F85" s="13" t="n"/>
      <c r="G85" s="13" t="n"/>
      <c r="H85" s="13" t="n"/>
      <c r="I85" s="15">
        <f>SUM(I5:I84)</f>
        <v/>
      </c>
      <c r="J85" s="15">
        <f>SUM(J5:J84)</f>
        <v/>
      </c>
      <c r="K85" s="13" t="n"/>
      <c r="L85" s="13" t="n"/>
      <c r="M85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Beeru — Semua Produk (TikTok Shop ID, 30 hari terakhir)</t>
        </is>
      </c>
    </row>
    <row r="2">
      <c r="A2" s="2" t="inlineStr">
        <is>
          <t>Total SKU: 52 | Sumber: Kalodata | Diambil 20 Jul 2026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Beeru</t>
        </is>
      </c>
      <c r="C5" s="5" t="inlineStr">
        <is>
          <t>Beeru Stevia Paket Dobel - Sugar Free Manis</t>
        </is>
      </c>
      <c r="D5" s="6" t="inlineStr">
        <is>
          <t>1729581576210320193</t>
        </is>
      </c>
      <c r="E5" s="4" t="inlineStr">
        <is>
          <t>—</t>
        </is>
      </c>
      <c r="F5" s="5" t="inlineStr">
        <is>
          <t>Tidak tertera</t>
        </is>
      </c>
      <c r="G5" s="7" t="n">
        <v>151577</v>
      </c>
      <c r="H5" s="7">
        <f>IF(OR($E5="—",$G5="—"),"—",ROUND($G5/$E5,0))</f>
        <v/>
      </c>
      <c r="I5" s="8" t="n">
        <v>241766098</v>
      </c>
      <c r="J5" s="7" t="n">
        <v>1595</v>
      </c>
      <c r="K5" s="5" t="inlineStr">
        <is>
          <t>Stevia/Pemanis</t>
        </is>
      </c>
      <c r="L5" s="5" t="inlineStr">
        <is>
          <t>—</t>
        </is>
      </c>
      <c r="M5" s="4" t="inlineStr">
        <is>
          <t>—</t>
        </is>
      </c>
    </row>
    <row r="6">
      <c r="A6" s="4" t="n">
        <v>2</v>
      </c>
      <c r="B6" s="5" t="inlineStr">
        <is>
          <t>Beeru</t>
        </is>
      </c>
      <c r="C6" s="5" t="inlineStr">
        <is>
          <t>Beeru Stevia Natural Sweetener 15mL Pengganti Gula</t>
        </is>
      </c>
      <c r="D6" s="6" t="inlineStr">
        <is>
          <t>1729557176748510017</t>
        </is>
      </c>
      <c r="E6" s="4" t="inlineStr">
        <is>
          <t>—</t>
        </is>
      </c>
      <c r="F6" s="5" t="inlineStr">
        <is>
          <t>Tidak tertera</t>
        </is>
      </c>
      <c r="G6" s="7" t="n">
        <v>63508</v>
      </c>
      <c r="H6" s="7">
        <f>IF(OR($E6="—",$G6="—"),"—",ROUND($G6/$E6,0))</f>
        <v/>
      </c>
      <c r="I6" s="8" t="n">
        <v>132668098</v>
      </c>
      <c r="J6" s="7" t="n">
        <v>2089</v>
      </c>
      <c r="K6" s="5" t="inlineStr">
        <is>
          <t>Stevia/Pemanis</t>
        </is>
      </c>
      <c r="L6" s="5" t="inlineStr">
        <is>
          <t>—</t>
        </is>
      </c>
      <c r="M6" s="4" t="inlineStr">
        <is>
          <t>—</t>
        </is>
      </c>
    </row>
    <row r="7">
      <c r="A7" s="4" t="n">
        <v>3</v>
      </c>
      <c r="B7" s="5" t="inlineStr">
        <is>
          <t>Beeru</t>
        </is>
      </c>
      <c r="C7" s="5" t="inlineStr">
        <is>
          <t>Beeru Pure Matcha Powder 50gr - 100% Bubuk Matcha Premium Japan</t>
        </is>
      </c>
      <c r="D7" s="6" t="inlineStr">
        <is>
          <t>1729563573420984129</t>
        </is>
      </c>
      <c r="E7" s="4" t="n">
        <v>50</v>
      </c>
      <c r="F7" s="5" t="inlineStr">
        <is>
          <t>Tidak tertera</t>
        </is>
      </c>
      <c r="G7" s="7" t="n">
        <v>51519</v>
      </c>
      <c r="H7" s="7">
        <f>IF(OR($E7="—",$G7="—"),"—",ROUND($G7/$E7,0))</f>
        <v/>
      </c>
      <c r="I7" s="8" t="n">
        <v>67490151</v>
      </c>
      <c r="J7" s="7" t="n">
        <v>1310</v>
      </c>
      <c r="K7" s="5" t="inlineStr">
        <is>
          <t>Matcha</t>
        </is>
      </c>
      <c r="L7" s="5" t="inlineStr">
        <is>
          <t>Premium</t>
        </is>
      </c>
      <c r="M7" s="12" t="n">
        <v>2</v>
      </c>
    </row>
    <row r="8">
      <c r="A8" s="4" t="n">
        <v>4</v>
      </c>
      <c r="B8" s="5" t="inlineStr">
        <is>
          <t>Beeru</t>
        </is>
      </c>
      <c r="C8" s="5" t="inlineStr">
        <is>
          <t>Beeru Beras Porang Pouch 1 Kg - Shirataki Konjac Rice</t>
        </is>
      </c>
      <c r="D8" s="6" t="inlineStr">
        <is>
          <t>1729985233673030465</t>
        </is>
      </c>
      <c r="E8" s="4" t="n">
        <v>1000</v>
      </c>
      <c r="F8" s="5" t="inlineStr">
        <is>
          <t>Pouch</t>
        </is>
      </c>
      <c r="G8" s="7" t="n">
        <v>161869</v>
      </c>
      <c r="H8" s="7">
        <f>IF(OR($E8="—",$G8="—"),"—",ROUND($G8/$E8,0))</f>
        <v/>
      </c>
      <c r="I8" s="8" t="n">
        <v>57301467</v>
      </c>
      <c r="J8" s="7" t="n">
        <v>354</v>
      </c>
      <c r="K8" s="5" t="inlineStr">
        <is>
          <t>Lainnya</t>
        </is>
      </c>
      <c r="L8" s="5" t="inlineStr">
        <is>
          <t>—</t>
        </is>
      </c>
      <c r="M8" s="4" t="inlineStr">
        <is>
          <t>—</t>
        </is>
      </c>
    </row>
    <row r="9">
      <c r="A9" s="4" t="n">
        <v>5</v>
      </c>
      <c r="B9" s="5" t="inlineStr">
        <is>
          <t>Beeru</t>
        </is>
      </c>
      <c r="C9" s="5" t="inlineStr">
        <is>
          <t>Beeru Stevia Paket Beerdua - Pengganti Gula Manis Sugar Free</t>
        </is>
      </c>
      <c r="D9" s="6" t="inlineStr">
        <is>
          <t>1729570100125600577</t>
        </is>
      </c>
      <c r="E9" s="4" t="inlineStr">
        <is>
          <t>—</t>
        </is>
      </c>
      <c r="F9" s="5" t="inlineStr">
        <is>
          <t>Tidak tertera</t>
        </is>
      </c>
      <c r="G9" s="7" t="n">
        <v>140461</v>
      </c>
      <c r="H9" s="7">
        <f>IF(OR($E9="—",$G9="—"),"—",ROUND($G9/$E9,0))</f>
        <v/>
      </c>
      <c r="I9" s="8" t="n">
        <v>42559824</v>
      </c>
      <c r="J9" s="7" t="n">
        <v>303</v>
      </c>
      <c r="K9" s="5" t="inlineStr">
        <is>
          <t>Stevia/Pemanis</t>
        </is>
      </c>
      <c r="L9" s="5" t="inlineStr">
        <is>
          <t>—</t>
        </is>
      </c>
      <c r="M9" s="4" t="inlineStr">
        <is>
          <t>—</t>
        </is>
      </c>
    </row>
    <row r="10">
      <c r="A10" s="4" t="n">
        <v>6</v>
      </c>
      <c r="B10" s="5" t="inlineStr">
        <is>
          <t>Beeru</t>
        </is>
      </c>
      <c r="C10" s="5" t="inlineStr">
        <is>
          <t>Beeru Pure Matcha Powder 100gr - 100% Bubuk Matcha Premium Japan</t>
        </is>
      </c>
      <c r="D10" s="6" t="inlineStr">
        <is>
          <t>1729858085833444161</t>
        </is>
      </c>
      <c r="E10" s="4" t="n">
        <v>100</v>
      </c>
      <c r="F10" s="5" t="inlineStr">
        <is>
          <t>Tidak tertera</t>
        </is>
      </c>
      <c r="G10" s="7" t="n">
        <v>118111</v>
      </c>
      <c r="H10" s="7">
        <f>IF(OR($E10="—",$G10="—"),"—",ROUND($G10/$E10,0))</f>
        <v/>
      </c>
      <c r="I10" s="8" t="n">
        <v>31417585</v>
      </c>
      <c r="J10" s="7" t="n">
        <v>266</v>
      </c>
      <c r="K10" s="5" t="inlineStr">
        <is>
          <t>Matcha</t>
        </is>
      </c>
      <c r="L10" s="5" t="inlineStr">
        <is>
          <t>Premium</t>
        </is>
      </c>
      <c r="M10" s="12" t="n">
        <v>2</v>
      </c>
    </row>
    <row r="11">
      <c r="A11" s="4" t="n">
        <v>7</v>
      </c>
      <c r="B11" s="5" t="inlineStr">
        <is>
          <t>Beeru</t>
        </is>
      </c>
      <c r="C11" s="5" t="inlineStr">
        <is>
          <t>Beeru Stevia Natural Sweetener 5mL Pengganti Gula</t>
        </is>
      </c>
      <c r="D11" s="6" t="inlineStr">
        <is>
          <t>1729557178931383105</t>
        </is>
      </c>
      <c r="E11" s="4" t="inlineStr">
        <is>
          <t>—</t>
        </is>
      </c>
      <c r="F11" s="5" t="inlineStr">
        <is>
          <t>Tidak tertera</t>
        </is>
      </c>
      <c r="G11" s="7" t="n">
        <v>18471</v>
      </c>
      <c r="H11" s="7">
        <f>IF(OR($E11="—",$G11="—"),"—",ROUND($G11/$E11,0))</f>
        <v/>
      </c>
      <c r="I11" s="8" t="n">
        <v>31383059</v>
      </c>
      <c r="J11" s="7" t="n">
        <v>1699</v>
      </c>
      <c r="K11" s="5" t="inlineStr">
        <is>
          <t>Stevia/Pemanis</t>
        </is>
      </c>
      <c r="L11" s="5" t="inlineStr">
        <is>
          <t>—</t>
        </is>
      </c>
      <c r="M11" s="4" t="inlineStr">
        <is>
          <t>—</t>
        </is>
      </c>
    </row>
    <row r="12">
      <c r="A12" s="4" t="n">
        <v>8</v>
      </c>
      <c r="B12" s="5" t="inlineStr">
        <is>
          <t>Beeru</t>
        </is>
      </c>
      <c r="C12" s="5" t="inlineStr">
        <is>
          <t>Beeru Stevia Paket Serumah Pengganti Gula</t>
        </is>
      </c>
      <c r="D12" s="6" t="inlineStr">
        <is>
          <t>1729650196288146241</t>
        </is>
      </c>
      <c r="E12" s="4" t="inlineStr">
        <is>
          <t>—</t>
        </is>
      </c>
      <c r="F12" s="5" t="inlineStr">
        <is>
          <t>Tidak tertera</t>
        </is>
      </c>
      <c r="G12" s="7" t="n">
        <v>231576</v>
      </c>
      <c r="H12" s="7">
        <f>IF(OR($E12="—",$G12="—"),"—",ROUND($G12/$E12,0))</f>
        <v/>
      </c>
      <c r="I12" s="8" t="n">
        <v>22462831</v>
      </c>
      <c r="J12" s="7" t="n">
        <v>97</v>
      </c>
      <c r="K12" s="5" t="inlineStr">
        <is>
          <t>Stevia/Pemanis</t>
        </is>
      </c>
      <c r="L12" s="5" t="inlineStr">
        <is>
          <t>—</t>
        </is>
      </c>
      <c r="M12" s="4" t="inlineStr">
        <is>
          <t>—</t>
        </is>
      </c>
    </row>
    <row r="13">
      <c r="A13" s="4" t="n">
        <v>9</v>
      </c>
      <c r="B13" s="5" t="inlineStr">
        <is>
          <t>Beeru</t>
        </is>
      </c>
      <c r="C13" s="5" t="inlineStr">
        <is>
          <t>Beeru Beras Porang Merah Box - Shirataki Konjac Rice</t>
        </is>
      </c>
      <c r="D13" s="6" t="inlineStr">
        <is>
          <t>1734462438843385665</t>
        </is>
      </c>
      <c r="E13" s="4" t="inlineStr">
        <is>
          <t>—</t>
        </is>
      </c>
      <c r="F13" s="5" t="inlineStr">
        <is>
          <t>Sachet/Box</t>
        </is>
      </c>
      <c r="G13" s="7" t="n">
        <v>45486</v>
      </c>
      <c r="H13" s="7">
        <f>IF(OR($E13="—",$G13="—"),"—",ROUND($G13/$E13,0))</f>
        <v/>
      </c>
      <c r="I13" s="8" t="n">
        <v>21833291</v>
      </c>
      <c r="J13" s="7" t="n">
        <v>480</v>
      </c>
      <c r="K13" s="5" t="inlineStr">
        <is>
          <t>Lainnya</t>
        </is>
      </c>
      <c r="L13" s="5" t="inlineStr">
        <is>
          <t>—</t>
        </is>
      </c>
      <c r="M13" s="4" t="inlineStr">
        <is>
          <t>—</t>
        </is>
      </c>
    </row>
    <row r="14">
      <c r="A14" s="4" t="n">
        <v>10</v>
      </c>
      <c r="B14" s="5" t="inlineStr">
        <is>
          <t>Beeru</t>
        </is>
      </c>
      <c r="C14" s="5" t="inlineStr">
        <is>
          <t>Beeru Beras Porang isi 2 Pouch 1 Kg - Shirataki Konjac Rice</t>
        </is>
      </c>
      <c r="D14" s="6" t="inlineStr">
        <is>
          <t>1729772837002839873</t>
        </is>
      </c>
      <c r="E14" s="4" t="n">
        <v>1000</v>
      </c>
      <c r="F14" s="5" t="inlineStr">
        <is>
          <t>Pouch</t>
        </is>
      </c>
      <c r="G14" s="7" t="n">
        <v>372306</v>
      </c>
      <c r="H14" s="7">
        <f>IF(OR($E14="—",$G14="—"),"—",ROUND($G14/$E14,0))</f>
        <v/>
      </c>
      <c r="I14" s="8" t="n">
        <v>16753770</v>
      </c>
      <c r="J14" s="7" t="n">
        <v>45</v>
      </c>
      <c r="K14" s="5" t="inlineStr">
        <is>
          <t>Lainnya</t>
        </is>
      </c>
      <c r="L14" s="5" t="inlineStr">
        <is>
          <t>—</t>
        </is>
      </c>
      <c r="M14" s="4" t="inlineStr">
        <is>
          <t>—</t>
        </is>
      </c>
    </row>
    <row r="15">
      <c r="A15" s="4" t="n">
        <v>11</v>
      </c>
      <c r="B15" s="5" t="inlineStr">
        <is>
          <t>Beeru</t>
        </is>
      </c>
      <c r="C15" s="5" t="inlineStr">
        <is>
          <t>Beeru Stevia Paket Sikembar Pengganti Gula</t>
        </is>
      </c>
      <c r="D15" s="6" t="inlineStr">
        <is>
          <t>1729649712104966977</t>
        </is>
      </c>
      <c r="E15" s="4" t="inlineStr">
        <is>
          <t>—</t>
        </is>
      </c>
      <c r="F15" s="5" t="inlineStr">
        <is>
          <t>Tidak tertera</t>
        </is>
      </c>
      <c r="G15" s="7" t="n">
        <v>92539</v>
      </c>
      <c r="H15" s="7">
        <f>IF(OR($E15="—",$G15="—"),"—",ROUND($G15/$E15,0))</f>
        <v/>
      </c>
      <c r="I15" s="8" t="n">
        <v>16749472</v>
      </c>
      <c r="J15" s="7" t="n">
        <v>181</v>
      </c>
      <c r="K15" s="5" t="inlineStr">
        <is>
          <t>Stevia/Pemanis</t>
        </is>
      </c>
      <c r="L15" s="5" t="inlineStr">
        <is>
          <t>—</t>
        </is>
      </c>
      <c r="M15" s="4" t="inlineStr">
        <is>
          <t>—</t>
        </is>
      </c>
    </row>
    <row r="16">
      <c r="A16" s="4" t="n">
        <v>12</v>
      </c>
      <c r="B16" s="5" t="inlineStr">
        <is>
          <t>Beeru</t>
        </is>
      </c>
      <c r="C16" s="5" t="inlineStr">
        <is>
          <t>Beeru Beras Porang Box - Shirataki Konjac Rice</t>
        </is>
      </c>
      <c r="D16" s="6" t="inlineStr">
        <is>
          <t>1729985218221083457</t>
        </is>
      </c>
      <c r="E16" s="4" t="inlineStr">
        <is>
          <t>—</t>
        </is>
      </c>
      <c r="F16" s="5" t="inlineStr">
        <is>
          <t>Sachet/Box</t>
        </is>
      </c>
      <c r="G16" s="7" t="n">
        <v>40071</v>
      </c>
      <c r="H16" s="7">
        <f>IF(OR($E16="—",$G16="—"),"—",ROUND($G16/$E16,0))</f>
        <v/>
      </c>
      <c r="I16" s="8" t="n">
        <v>13944668</v>
      </c>
      <c r="J16" s="7" t="n">
        <v>348</v>
      </c>
      <c r="K16" s="5" t="inlineStr">
        <is>
          <t>Lainnya</t>
        </is>
      </c>
      <c r="L16" s="5" t="inlineStr">
        <is>
          <t>—</t>
        </is>
      </c>
      <c r="M16" s="4" t="inlineStr">
        <is>
          <t>—</t>
        </is>
      </c>
    </row>
    <row r="17">
      <c r="A17" s="4" t="n">
        <v>13</v>
      </c>
      <c r="B17" s="5" t="inlineStr">
        <is>
          <t>Beeru</t>
        </is>
      </c>
      <c r="C17" s="5" t="inlineStr">
        <is>
          <t>Beeru Beras Porang Merah Pouch 1 Kg - Shirataki Konjac Rice</t>
        </is>
      </c>
      <c r="D17" s="6" t="inlineStr">
        <is>
          <t>1734462554282428225</t>
        </is>
      </c>
      <c r="E17" s="4" t="n">
        <v>1000</v>
      </c>
      <c r="F17" s="5" t="inlineStr">
        <is>
          <t>Pouch</t>
        </is>
      </c>
      <c r="G17" s="7" t="n">
        <v>165814</v>
      </c>
      <c r="H17" s="7">
        <f>IF(OR($E17="—",$G17="—"),"—",ROUND($G17/$E17,0))</f>
        <v/>
      </c>
      <c r="I17" s="8" t="n">
        <v>13430933</v>
      </c>
      <c r="J17" s="7" t="n">
        <v>81</v>
      </c>
      <c r="K17" s="5" t="inlineStr">
        <is>
          <t>Lainnya</t>
        </is>
      </c>
      <c r="L17" s="5" t="inlineStr">
        <is>
          <t>—</t>
        </is>
      </c>
      <c r="M17" s="4" t="inlineStr">
        <is>
          <t>—</t>
        </is>
      </c>
    </row>
    <row r="18">
      <c r="A18" s="4" t="n">
        <v>14</v>
      </c>
      <c r="B18" s="5" t="inlineStr">
        <is>
          <t>Beeru</t>
        </is>
      </c>
      <c r="C18" s="5" t="inlineStr">
        <is>
          <t>Beeru Beras Porang Isi 2 Box - Shirataki Konjac Rice</t>
        </is>
      </c>
      <c r="D18" s="6" t="inlineStr">
        <is>
          <t>1729995463333677889</t>
        </is>
      </c>
      <c r="E18" s="4" t="inlineStr">
        <is>
          <t>—</t>
        </is>
      </c>
      <c r="F18" s="5" t="inlineStr">
        <is>
          <t>Sachet/Box</t>
        </is>
      </c>
      <c r="G18" s="7" t="n">
        <v>87740</v>
      </c>
      <c r="H18" s="7">
        <f>IF(OR($E18="—",$G18="—"),"—",ROUND($G18/$E18,0))</f>
        <v/>
      </c>
      <c r="I18" s="8" t="n">
        <v>6229535</v>
      </c>
      <c r="J18" s="7" t="n">
        <v>71</v>
      </c>
      <c r="K18" s="5" t="inlineStr">
        <is>
          <t>Lainnya</t>
        </is>
      </c>
      <c r="L18" s="5" t="inlineStr">
        <is>
          <t>—</t>
        </is>
      </c>
      <c r="M18" s="4" t="inlineStr">
        <is>
          <t>—</t>
        </is>
      </c>
    </row>
    <row r="19">
      <c r="A19" s="4" t="n">
        <v>15</v>
      </c>
      <c r="B19" s="5" t="inlineStr">
        <is>
          <t>Beeru</t>
        </is>
      </c>
      <c r="C19" s="5" t="inlineStr">
        <is>
          <t>Beeru Beras Porang Hitam Box - Shirataki Konjac Rice</t>
        </is>
      </c>
      <c r="D19" s="6" t="inlineStr">
        <is>
          <t>1734022278309513025</t>
        </is>
      </c>
      <c r="E19" s="4" t="inlineStr">
        <is>
          <t>—</t>
        </is>
      </c>
      <c r="F19" s="5" t="inlineStr">
        <is>
          <t>Sachet/Box</t>
        </is>
      </c>
      <c r="G19" s="7" t="n">
        <v>45646</v>
      </c>
      <c r="H19" s="7">
        <f>IF(OR($E19="—",$G19="—"),"—",ROUND($G19/$E19,0))</f>
        <v/>
      </c>
      <c r="I19" s="8" t="n">
        <v>5249299</v>
      </c>
      <c r="J19" s="7" t="n">
        <v>115</v>
      </c>
      <c r="K19" s="5" t="inlineStr">
        <is>
          <t>Lainnya</t>
        </is>
      </c>
      <c r="L19" s="5" t="inlineStr">
        <is>
          <t>—</t>
        </is>
      </c>
      <c r="M19" s="4" t="inlineStr">
        <is>
          <t>—</t>
        </is>
      </c>
    </row>
    <row r="20">
      <c r="A20" s="4" t="n">
        <v>16</v>
      </c>
      <c r="B20" s="5" t="inlineStr">
        <is>
          <t>Beeru</t>
        </is>
      </c>
      <c r="C20" s="5" t="inlineStr">
        <is>
          <t>Beeru Beras Porang Hitam Pouch 1 Kg - Shirataki Konjac Rice</t>
        </is>
      </c>
      <c r="D20" s="6" t="inlineStr">
        <is>
          <t>1734021542784501569</t>
        </is>
      </c>
      <c r="E20" s="4" t="n">
        <v>1000</v>
      </c>
      <c r="F20" s="5" t="inlineStr">
        <is>
          <t>Pouch</t>
        </is>
      </c>
      <c r="G20" s="7" t="n">
        <v>162730</v>
      </c>
      <c r="H20" s="7">
        <f>IF(OR($E20="—",$G20="—"),"—",ROUND($G20/$E20,0))</f>
        <v/>
      </c>
      <c r="I20" s="8" t="n">
        <v>5207357</v>
      </c>
      <c r="J20" s="7" t="n">
        <v>32</v>
      </c>
      <c r="K20" s="5" t="inlineStr">
        <is>
          <t>Lainnya</t>
        </is>
      </c>
      <c r="L20" s="5" t="inlineStr">
        <is>
          <t>—</t>
        </is>
      </c>
      <c r="M20" s="4" t="inlineStr">
        <is>
          <t>—</t>
        </is>
      </c>
    </row>
    <row r="21">
      <c r="A21" s="4" t="n">
        <v>17</v>
      </c>
      <c r="B21" s="5" t="inlineStr">
        <is>
          <t>Beeru</t>
        </is>
      </c>
      <c r="C21" s="5" t="inlineStr">
        <is>
          <t>Beeru Beras Porang Merah isi 2 Pouch 1 Kg - Shirataki Konjac Rice</t>
        </is>
      </c>
      <c r="D21" s="6" t="inlineStr">
        <is>
          <t>1734486515917293377</t>
        </is>
      </c>
      <c r="E21" s="4" t="n">
        <v>1000</v>
      </c>
      <c r="F21" s="5" t="inlineStr">
        <is>
          <t>Pouch</t>
        </is>
      </c>
      <c r="G21" s="7" t="n">
        <v>375017</v>
      </c>
      <c r="H21" s="7">
        <f>IF(OR($E21="—",$G21="—"),"—",ROUND($G21/$E21,0))</f>
        <v/>
      </c>
      <c r="I21" s="8" t="n">
        <v>4875226</v>
      </c>
      <c r="J21" s="7" t="n">
        <v>13</v>
      </c>
      <c r="K21" s="5" t="inlineStr">
        <is>
          <t>Lainnya</t>
        </is>
      </c>
      <c r="L21" s="5" t="inlineStr">
        <is>
          <t>—</t>
        </is>
      </c>
      <c r="M21" s="4" t="inlineStr">
        <is>
          <t>—</t>
        </is>
      </c>
    </row>
    <row r="22">
      <c r="A22" s="4" t="n">
        <v>18</v>
      </c>
      <c r="B22" s="5" t="inlineStr">
        <is>
          <t>Beeru</t>
        </is>
      </c>
      <c r="C22" s="5" t="inlineStr">
        <is>
          <t>Beeru Beras Porang Kardus isi 12 Pouch 1kg - Shirataki Konjac Rice</t>
        </is>
      </c>
      <c r="D22" s="6" t="inlineStr">
        <is>
          <t>1729699948078270273</t>
        </is>
      </c>
      <c r="E22" s="4" t="n">
        <v>1000</v>
      </c>
      <c r="F22" s="5" t="inlineStr">
        <is>
          <t>Pouch</t>
        </is>
      </c>
      <c r="G22" s="7" t="n">
        <v>2358952</v>
      </c>
      <c r="H22" s="7">
        <f>IF(OR($E22="—",$G22="—"),"—",ROUND($G22/$E22,0))</f>
        <v/>
      </c>
      <c r="I22" s="8" t="n">
        <v>4717903</v>
      </c>
      <c r="J22" s="7" t="n">
        <v>2</v>
      </c>
      <c r="K22" s="5" t="inlineStr">
        <is>
          <t>Lainnya</t>
        </is>
      </c>
      <c r="L22" s="5" t="inlineStr">
        <is>
          <t>—</t>
        </is>
      </c>
      <c r="M22" s="4" t="inlineStr">
        <is>
          <t>—</t>
        </is>
      </c>
    </row>
    <row r="23">
      <c r="A23" s="4" t="n">
        <v>19</v>
      </c>
      <c r="B23" s="5" t="inlineStr">
        <is>
          <t>Beeru</t>
        </is>
      </c>
      <c r="C23" s="5" t="inlineStr">
        <is>
          <t>Beeru Ceremonial Matcha Jepang u.01 30gr</t>
        </is>
      </c>
      <c r="D23" s="6" t="inlineStr">
        <is>
          <t>1733794794123331393</t>
        </is>
      </c>
      <c r="E23" s="4" t="n">
        <v>30</v>
      </c>
      <c r="F23" s="5" t="inlineStr">
        <is>
          <t>Tidak tertera</t>
        </is>
      </c>
      <c r="G23" s="7" t="n">
        <v>345161</v>
      </c>
      <c r="H23" s="7">
        <f>IF(OR($E23="—",$G23="—"),"—",ROUND($G23/$E23,0))</f>
        <v/>
      </c>
      <c r="I23" s="8" t="n">
        <v>4487094</v>
      </c>
      <c r="J23" s="7" t="n">
        <v>13</v>
      </c>
      <c r="K23" s="5" t="inlineStr">
        <is>
          <t>Matcha</t>
        </is>
      </c>
      <c r="L23" s="5" t="inlineStr">
        <is>
          <t>Ceremonial</t>
        </is>
      </c>
      <c r="M23" s="9" t="n">
        <v>1</v>
      </c>
    </row>
    <row r="24">
      <c r="A24" s="4" t="n">
        <v>20</v>
      </c>
      <c r="B24" s="5" t="inlineStr">
        <is>
          <t>Beeru</t>
        </is>
      </c>
      <c r="C24" s="5" t="inlineStr">
        <is>
          <t>Beeru Beras Porang Isi 5 Box - Shirataki Konjac Rice</t>
        </is>
      </c>
      <c r="D24" s="6" t="inlineStr">
        <is>
          <t>1729995452360264513</t>
        </is>
      </c>
      <c r="E24" s="4" t="inlineStr">
        <is>
          <t>—</t>
        </is>
      </c>
      <c r="F24" s="5" t="inlineStr">
        <is>
          <t>Sachet/Box</t>
        </is>
      </c>
      <c r="G24" s="7" t="n">
        <v>275966</v>
      </c>
      <c r="H24" s="7">
        <f>IF(OR($E24="—",$G24="—"),"—",ROUND($G24/$E24,0))</f>
        <v/>
      </c>
      <c r="I24" s="8" t="n">
        <v>4415448</v>
      </c>
      <c r="J24" s="7" t="n">
        <v>16</v>
      </c>
      <c r="K24" s="5" t="inlineStr">
        <is>
          <t>Lainnya</t>
        </is>
      </c>
      <c r="L24" s="5" t="inlineStr">
        <is>
          <t>—</t>
        </is>
      </c>
      <c r="M24" s="4" t="inlineStr">
        <is>
          <t>—</t>
        </is>
      </c>
    </row>
    <row r="25">
      <c r="A25" s="4" t="n">
        <v>21</v>
      </c>
      <c r="B25" s="5" t="inlineStr">
        <is>
          <t>Beeru</t>
        </is>
      </c>
      <c r="C25" s="5" t="inlineStr">
        <is>
          <t>Beeru Beras Porang Isi 2 Pouch 500gr - Shirataki Konjac Rice</t>
        </is>
      </c>
      <c r="D25" s="6" t="inlineStr">
        <is>
          <t>1729772886717204289</t>
        </is>
      </c>
      <c r="E25" s="4" t="n">
        <v>500</v>
      </c>
      <c r="F25" s="5" t="inlineStr">
        <is>
          <t>Pouch</t>
        </is>
      </c>
      <c r="G25" s="7" t="n">
        <v>201581</v>
      </c>
      <c r="H25" s="7">
        <f>IF(OR($E25="—",$G25="—"),"—",ROUND($G25/$E25,0))</f>
        <v/>
      </c>
      <c r="I25" s="8" t="n">
        <v>3628466</v>
      </c>
      <c r="J25" s="7" t="n">
        <v>18</v>
      </c>
      <c r="K25" s="5" t="inlineStr">
        <is>
          <t>Lainnya</t>
        </is>
      </c>
      <c r="L25" s="5" t="inlineStr">
        <is>
          <t>—</t>
        </is>
      </c>
      <c r="M25" s="4" t="inlineStr">
        <is>
          <t>—</t>
        </is>
      </c>
    </row>
    <row r="26">
      <c r="A26" s="4" t="n">
        <v>22</v>
      </c>
      <c r="B26" s="5" t="inlineStr">
        <is>
          <t>Beeru</t>
        </is>
      </c>
      <c r="C26" s="5" t="inlineStr">
        <is>
          <t>Beeru Beras Porang Merah Isi 2 Box - Shirataki Konjac Rice</t>
        </is>
      </c>
      <c r="D26" s="6" t="inlineStr">
        <is>
          <t>1734486722896299841</t>
        </is>
      </c>
      <c r="E26" s="4" t="inlineStr">
        <is>
          <t>—</t>
        </is>
      </c>
      <c r="F26" s="5" t="inlineStr">
        <is>
          <t>Sachet/Box</t>
        </is>
      </c>
      <c r="G26" s="7" t="n">
        <v>107638</v>
      </c>
      <c r="H26" s="7">
        <f>IF(OR($E26="—",$G26="—"),"—",ROUND($G26/$E26,0))</f>
        <v/>
      </c>
      <c r="I26" s="8" t="n">
        <v>3229152</v>
      </c>
      <c r="J26" s="7" t="n">
        <v>30</v>
      </c>
      <c r="K26" s="5" t="inlineStr">
        <is>
          <t>Lainnya</t>
        </is>
      </c>
      <c r="L26" s="5" t="inlineStr">
        <is>
          <t>—</t>
        </is>
      </c>
      <c r="M26" s="4" t="inlineStr">
        <is>
          <t>—</t>
        </is>
      </c>
    </row>
    <row r="27">
      <c r="A27" s="4" t="n">
        <v>23</v>
      </c>
      <c r="B27" s="5" t="inlineStr">
        <is>
          <t>Beeru</t>
        </is>
      </c>
      <c r="C27" s="5" t="inlineStr">
        <is>
          <t>Beeru Nori Rumput Laut Tabur Rasa Original 35gr Tanpa MSG Tanpa Pengawet Seaweed</t>
        </is>
      </c>
      <c r="D27" s="6" t="inlineStr">
        <is>
          <t>1731033985812039489</t>
        </is>
      </c>
      <c r="E27" s="4" t="n">
        <v>35</v>
      </c>
      <c r="F27" s="5" t="inlineStr">
        <is>
          <t>Tidak tertera</t>
        </is>
      </c>
      <c r="G27" s="7" t="n">
        <v>39687</v>
      </c>
      <c r="H27" s="7">
        <f>IF(OR($E27="—",$G27="—"),"—",ROUND($G27/$E27,0))</f>
        <v/>
      </c>
      <c r="I27" s="8" t="n">
        <v>2817752</v>
      </c>
      <c r="J27" s="7" t="n">
        <v>71</v>
      </c>
      <c r="K27" s="5" t="inlineStr">
        <is>
          <t>Lainnya</t>
        </is>
      </c>
      <c r="L27" s="5" t="inlineStr">
        <is>
          <t>—</t>
        </is>
      </c>
      <c r="M27" s="4" t="inlineStr">
        <is>
          <t>—</t>
        </is>
      </c>
    </row>
    <row r="28">
      <c r="A28" s="4" t="n">
        <v>24</v>
      </c>
      <c r="B28" s="5" t="inlineStr">
        <is>
          <t>Beeru</t>
        </is>
      </c>
      <c r="C28" s="5" t="inlineStr">
        <is>
          <t>Beeru Botol Kosong Mungil 2mL</t>
        </is>
      </c>
      <c r="D28" s="6" t="inlineStr">
        <is>
          <t>1729874726598183745</t>
        </is>
      </c>
      <c r="E28" s="4" t="inlineStr">
        <is>
          <t>—</t>
        </is>
      </c>
      <c r="F28" s="5" t="inlineStr">
        <is>
          <t>Tidak tertera</t>
        </is>
      </c>
      <c r="G28" s="7" t="n">
        <v>6004</v>
      </c>
      <c r="H28" s="7">
        <f>IF(OR($E28="—",$G28="—"),"—",ROUND($G28/$E28,0))</f>
        <v/>
      </c>
      <c r="I28" s="8" t="n">
        <v>2749921</v>
      </c>
      <c r="J28" s="7" t="n">
        <v>458</v>
      </c>
      <c r="K28" s="5" t="inlineStr">
        <is>
          <t>Lainnya</t>
        </is>
      </c>
      <c r="L28" s="5" t="inlineStr">
        <is>
          <t>—</t>
        </is>
      </c>
      <c r="M28" s="4" t="inlineStr">
        <is>
          <t>—</t>
        </is>
      </c>
    </row>
    <row r="29">
      <c r="A29" s="4" t="n">
        <v>25</v>
      </c>
      <c r="B29" s="5" t="inlineStr">
        <is>
          <t>Beeru</t>
        </is>
      </c>
      <c r="C29" s="5" t="inlineStr">
        <is>
          <t>Beeru Kaldu Sapi 100gr Tanpa MSG</t>
        </is>
      </c>
      <c r="D29" s="6" t="inlineStr">
        <is>
          <t>1729881495023094593</t>
        </is>
      </c>
      <c r="E29" s="4" t="n">
        <v>100</v>
      </c>
      <c r="F29" s="5" t="inlineStr">
        <is>
          <t>Tidak tertera</t>
        </is>
      </c>
      <c r="G29" s="7" t="n">
        <v>47057</v>
      </c>
      <c r="H29" s="7">
        <f>IF(OR($E29="—",$G29="—"),"—",ROUND($G29/$E29,0))</f>
        <v/>
      </c>
      <c r="I29" s="8" t="n">
        <v>2588139</v>
      </c>
      <c r="J29" s="7" t="n">
        <v>55</v>
      </c>
      <c r="K29" s="5" t="inlineStr">
        <is>
          <t>Lainnya</t>
        </is>
      </c>
      <c r="L29" s="5" t="inlineStr">
        <is>
          <t>—</t>
        </is>
      </c>
      <c r="M29" s="4" t="inlineStr">
        <is>
          <t>—</t>
        </is>
      </c>
    </row>
    <row r="30">
      <c r="A30" s="4" t="n">
        <v>26</v>
      </c>
      <c r="B30" s="5" t="inlineStr">
        <is>
          <t>Beeru</t>
        </is>
      </c>
      <c r="C30" s="5" t="inlineStr">
        <is>
          <t>Beeru Ceremonial Matcha Alt E.02 30gr</t>
        </is>
      </c>
      <c r="D30" s="6" t="inlineStr">
        <is>
          <t>1733014147823404865</t>
        </is>
      </c>
      <c r="E30" s="4" t="n">
        <v>30</v>
      </c>
      <c r="F30" s="5" t="inlineStr">
        <is>
          <t>Tidak tertera</t>
        </is>
      </c>
      <c r="G30" s="7" t="n">
        <v>171142</v>
      </c>
      <c r="H30" s="7">
        <f>IF(OR($E30="—",$G30="—"),"—",ROUND($G30/$E30,0))</f>
        <v/>
      </c>
      <c r="I30" s="8" t="n">
        <v>2567124</v>
      </c>
      <c r="J30" s="7" t="n">
        <v>15</v>
      </c>
      <c r="K30" s="5" t="inlineStr">
        <is>
          <t>Matcha</t>
        </is>
      </c>
      <c r="L30" s="5" t="inlineStr">
        <is>
          <t>Ceremonial</t>
        </is>
      </c>
      <c r="M30" s="9" t="n">
        <v>1</v>
      </c>
    </row>
    <row r="31">
      <c r="A31" s="4" t="n">
        <v>27</v>
      </c>
      <c r="B31" s="5" t="inlineStr">
        <is>
          <t>Beeru</t>
        </is>
      </c>
      <c r="C31" s="5" t="inlineStr">
        <is>
          <t>Beeru Beras Porang Hitam isi 2 Pouch 1 Kg - Shirataki Konjac Rice</t>
        </is>
      </c>
      <c r="D31" s="6" t="inlineStr">
        <is>
          <t>1734438878376003393</t>
        </is>
      </c>
      <c r="E31" s="4" t="n">
        <v>1000</v>
      </c>
      <c r="F31" s="5" t="inlineStr">
        <is>
          <t>Pouch</t>
        </is>
      </c>
      <c r="G31" s="7" t="n">
        <v>384706</v>
      </c>
      <c r="H31" s="7">
        <f>IF(OR($E31="—",$G31="—"),"—",ROUND($G31/$E31,0))</f>
        <v/>
      </c>
      <c r="I31" s="8" t="n">
        <v>1923528</v>
      </c>
      <c r="J31" s="7" t="n">
        <v>5</v>
      </c>
      <c r="K31" s="5" t="inlineStr">
        <is>
          <t>Lainnya</t>
        </is>
      </c>
      <c r="L31" s="5" t="inlineStr">
        <is>
          <t>—</t>
        </is>
      </c>
      <c r="M31" s="4" t="inlineStr">
        <is>
          <t>—</t>
        </is>
      </c>
    </row>
    <row r="32">
      <c r="A32" s="4" t="n">
        <v>28</v>
      </c>
      <c r="B32" s="5" t="inlineStr">
        <is>
          <t>Beeru</t>
        </is>
      </c>
      <c r="C32" s="5" t="inlineStr">
        <is>
          <t>Beeru Beras Porang Pouch 500 gram - Shirataki Konjac Rice</t>
        </is>
      </c>
      <c r="D32" s="6" t="inlineStr">
        <is>
          <t>1729985229145934657</t>
        </is>
      </c>
      <c r="E32" s="4" t="n">
        <v>500</v>
      </c>
      <c r="F32" s="5" t="inlineStr">
        <is>
          <t>Pouch</t>
        </is>
      </c>
      <c r="G32" s="7" t="n">
        <v>94561</v>
      </c>
      <c r="H32" s="7">
        <f>IF(OR($E32="—",$G32="—"),"—",ROUND($G32/$E32,0))</f>
        <v/>
      </c>
      <c r="I32" s="8" t="n">
        <v>1796652</v>
      </c>
      <c r="J32" s="7" t="n">
        <v>19</v>
      </c>
      <c r="K32" s="5" t="inlineStr">
        <is>
          <t>Lainnya</t>
        </is>
      </c>
      <c r="L32" s="5" t="inlineStr">
        <is>
          <t>—</t>
        </is>
      </c>
      <c r="M32" s="4" t="inlineStr">
        <is>
          <t>—</t>
        </is>
      </c>
    </row>
    <row r="33">
      <c r="A33" s="4" t="n">
        <v>29</v>
      </c>
      <c r="B33" s="5" t="inlineStr">
        <is>
          <t>Beeru</t>
        </is>
      </c>
      <c r="C33" s="5" t="inlineStr">
        <is>
          <t>Beeru Botol Kosong Mungil 1mL</t>
        </is>
      </c>
      <c r="D33" s="6" t="inlineStr">
        <is>
          <t>1729874701778979649</t>
        </is>
      </c>
      <c r="E33" s="4" t="inlineStr">
        <is>
          <t>—</t>
        </is>
      </c>
      <c r="F33" s="5" t="inlineStr">
        <is>
          <t>Tidak tertera</t>
        </is>
      </c>
      <c r="G33" s="7" t="n">
        <v>3330</v>
      </c>
      <c r="H33" s="7">
        <f>IF(OR($E33="—",$G33="—"),"—",ROUND($G33/$E33,0))</f>
        <v/>
      </c>
      <c r="I33" s="8" t="n">
        <v>1435291</v>
      </c>
      <c r="J33" s="7" t="n">
        <v>431</v>
      </c>
      <c r="K33" s="5" t="inlineStr">
        <is>
          <t>Lainnya</t>
        </is>
      </c>
      <c r="L33" s="5" t="inlineStr">
        <is>
          <t>—</t>
        </is>
      </c>
      <c r="M33" s="4" t="inlineStr">
        <is>
          <t>—</t>
        </is>
      </c>
    </row>
    <row r="34">
      <c r="A34" s="4" t="n">
        <v>30</v>
      </c>
      <c r="B34" s="5" t="inlineStr">
        <is>
          <t>Beeru</t>
        </is>
      </c>
      <c r="C34" s="5" t="inlineStr">
        <is>
          <t>Beeru Beras Porang Kardus isi 24 Box - Shirataki Konjac Rice</t>
        </is>
      </c>
      <c r="D34" s="6" t="inlineStr">
        <is>
          <t>1729700043879909185</t>
        </is>
      </c>
      <c r="E34" s="4" t="inlineStr">
        <is>
          <t>—</t>
        </is>
      </c>
      <c r="F34" s="5" t="inlineStr">
        <is>
          <t>Sachet/Box</t>
        </is>
      </c>
      <c r="G34" s="7" t="n">
        <v>1276443</v>
      </c>
      <c r="H34" s="7">
        <f>IF(OR($E34="—",$G34="—"),"—",ROUND($G34/$E34,0))</f>
        <v/>
      </c>
      <c r="I34" s="8" t="n">
        <v>1276443</v>
      </c>
      <c r="J34" s="7" t="n">
        <v>1</v>
      </c>
      <c r="K34" s="5" t="inlineStr">
        <is>
          <t>Lainnya</t>
        </is>
      </c>
      <c r="L34" s="5" t="inlineStr">
        <is>
          <t>—</t>
        </is>
      </c>
      <c r="M34" s="4" t="inlineStr">
        <is>
          <t>—</t>
        </is>
      </c>
    </row>
    <row r="35">
      <c r="A35" s="4" t="n">
        <v>31</v>
      </c>
      <c r="B35" s="5" t="inlineStr">
        <is>
          <t>Beeru</t>
        </is>
      </c>
      <c r="C35" s="5" t="inlineStr">
        <is>
          <t>Beeru Beras Porang Hitam Isi 2 Box - Shirataki Konjac Rice</t>
        </is>
      </c>
      <c r="D35" s="6" t="inlineStr">
        <is>
          <t>1734438778800867137</t>
        </is>
      </c>
      <c r="E35" s="4" t="inlineStr">
        <is>
          <t>—</t>
        </is>
      </c>
      <c r="F35" s="5" t="inlineStr">
        <is>
          <t>Sachet/Box</t>
        </is>
      </c>
      <c r="G35" s="7" t="n">
        <v>112809</v>
      </c>
      <c r="H35" s="7">
        <f>IF(OR($E35="—",$G35="—"),"—",ROUND($G35/$E35,0))</f>
        <v/>
      </c>
      <c r="I35" s="8" t="n">
        <v>1128093</v>
      </c>
      <c r="J35" s="7" t="n">
        <v>10</v>
      </c>
      <c r="K35" s="5" t="inlineStr">
        <is>
          <t>Lainnya</t>
        </is>
      </c>
      <c r="L35" s="5" t="inlineStr">
        <is>
          <t>—</t>
        </is>
      </c>
      <c r="M35" s="4" t="inlineStr">
        <is>
          <t>—</t>
        </is>
      </c>
    </row>
    <row r="36">
      <c r="A36" s="4" t="n">
        <v>32</v>
      </c>
      <c r="B36" s="5" t="inlineStr">
        <is>
          <t>Beeru</t>
        </is>
      </c>
      <c r="C36" s="5" t="inlineStr">
        <is>
          <t>Beeru Ceremonial Matcha Alt E.01 30gr</t>
        </is>
      </c>
      <c r="D36" s="6" t="inlineStr">
        <is>
          <t>1733014159740340033</t>
        </is>
      </c>
      <c r="E36" s="4" t="n">
        <v>30</v>
      </c>
      <c r="F36" s="5" t="inlineStr">
        <is>
          <t>Tidak tertera</t>
        </is>
      </c>
      <c r="G36" s="7" t="n">
        <v>170930</v>
      </c>
      <c r="H36" s="7">
        <f>IF(OR($E36="—",$G36="—"),"—",ROUND($G36/$E36,0))</f>
        <v/>
      </c>
      <c r="I36" s="8" t="n">
        <v>1025581</v>
      </c>
      <c r="J36" s="7" t="n">
        <v>6</v>
      </c>
      <c r="K36" s="5" t="inlineStr">
        <is>
          <t>Matcha</t>
        </is>
      </c>
      <c r="L36" s="5" t="inlineStr">
        <is>
          <t>Ceremonial</t>
        </is>
      </c>
      <c r="M36" s="9" t="n">
        <v>1</v>
      </c>
    </row>
    <row r="37">
      <c r="A37" s="4" t="n">
        <v>33</v>
      </c>
      <c r="B37" s="5" t="inlineStr">
        <is>
          <t>Beeru</t>
        </is>
      </c>
      <c r="C37" s="5" t="inlineStr">
        <is>
          <t>Beeru Beras Porang Merah Isi 5 Box - Shirataki Konjac Rice</t>
        </is>
      </c>
      <c r="D37" s="6" t="inlineStr">
        <is>
          <t>1734486607266481985</t>
        </is>
      </c>
      <c r="E37" s="4" t="inlineStr">
        <is>
          <t>—</t>
        </is>
      </c>
      <c r="F37" s="5" t="inlineStr">
        <is>
          <t>Sachet/Box</t>
        </is>
      </c>
      <c r="G37" s="7" t="n">
        <v>293041</v>
      </c>
      <c r="H37" s="7">
        <f>IF(OR($E37="—",$G37="—"),"—",ROUND($G37/$E37,0))</f>
        <v/>
      </c>
      <c r="I37" s="8" t="n">
        <v>879123</v>
      </c>
      <c r="J37" s="7" t="n">
        <v>3</v>
      </c>
      <c r="K37" s="5" t="inlineStr">
        <is>
          <t>Lainnya</t>
        </is>
      </c>
      <c r="L37" s="5" t="inlineStr">
        <is>
          <t>—</t>
        </is>
      </c>
      <c r="M37" s="4" t="inlineStr">
        <is>
          <t>—</t>
        </is>
      </c>
    </row>
    <row r="38">
      <c r="A38" s="4" t="n">
        <v>34</v>
      </c>
      <c r="B38" s="5" t="inlineStr">
        <is>
          <t>Beeru</t>
        </is>
      </c>
      <c r="C38" s="5" t="inlineStr">
        <is>
          <t>Nasi Merah Instan Praktis</t>
        </is>
      </c>
      <c r="D38" s="6" t="inlineStr">
        <is>
          <t>1736240304070559553</t>
        </is>
      </c>
      <c r="E38" s="4" t="inlineStr">
        <is>
          <t>—</t>
        </is>
      </c>
      <c r="F38" s="5" t="inlineStr">
        <is>
          <t>Tidak tertera</t>
        </is>
      </c>
      <c r="G38" s="7" t="n">
        <v>45327</v>
      </c>
      <c r="H38" s="7">
        <f>IF(OR($E38="—",$G38="—"),"—",ROUND($G38/$E38,0))</f>
        <v/>
      </c>
      <c r="I38" s="8" t="n">
        <v>589248</v>
      </c>
      <c r="J38" s="7" t="n">
        <v>13</v>
      </c>
      <c r="K38" s="5" t="inlineStr">
        <is>
          <t>Lainnya</t>
        </is>
      </c>
      <c r="L38" s="5" t="inlineStr">
        <is>
          <t>—</t>
        </is>
      </c>
      <c r="M38" s="4" t="inlineStr">
        <is>
          <t>—</t>
        </is>
      </c>
    </row>
    <row r="39">
      <c r="A39" s="4" t="n">
        <v>35</v>
      </c>
      <c r="B39" s="5" t="inlineStr">
        <is>
          <t>Beeru</t>
        </is>
      </c>
      <c r="C39" s="5" t="inlineStr">
        <is>
          <t>Beeru Beras Porang Isi 10 Box - Shirataki Konjac Rice</t>
        </is>
      </c>
      <c r="D39" s="6" t="inlineStr">
        <is>
          <t>1729995447512959809</t>
        </is>
      </c>
      <c r="E39" s="4" t="inlineStr">
        <is>
          <t>—</t>
        </is>
      </c>
      <c r="F39" s="5" t="inlineStr">
        <is>
          <t>Sachet/Box</t>
        </is>
      </c>
      <c r="G39" s="7" t="n">
        <v>499745</v>
      </c>
      <c r="H39" s="7">
        <f>IF(OR($E39="—",$G39="—"),"—",ROUND($G39/$E39,0))</f>
        <v/>
      </c>
      <c r="I39" s="8" t="n">
        <v>499745</v>
      </c>
      <c r="J39" s="7" t="n">
        <v>1</v>
      </c>
      <c r="K39" s="5" t="inlineStr">
        <is>
          <t>Lainnya</t>
        </is>
      </c>
      <c r="L39" s="5" t="inlineStr">
        <is>
          <t>—</t>
        </is>
      </c>
      <c r="M39" s="4" t="inlineStr">
        <is>
          <t>—</t>
        </is>
      </c>
    </row>
    <row r="40">
      <c r="A40" s="4" t="n">
        <v>36</v>
      </c>
      <c r="B40" s="5" t="inlineStr">
        <is>
          <t>Beeru</t>
        </is>
      </c>
      <c r="C40" s="5" t="inlineStr">
        <is>
          <t>Beeru Beras Porang Sachet Isi 10 - Shirataki Konjac Rice</t>
        </is>
      </c>
      <c r="D40" s="6" t="inlineStr">
        <is>
          <t>1730001381516151617</t>
        </is>
      </c>
      <c r="E40" s="4" t="inlineStr">
        <is>
          <t>—</t>
        </is>
      </c>
      <c r="F40" s="5" t="inlineStr">
        <is>
          <t>Sachet/Box</t>
        </is>
      </c>
      <c r="G40" s="7" t="n">
        <v>61856</v>
      </c>
      <c r="H40" s="7">
        <f>IF(OR($E40="—",$G40="—"),"—",ROUND($G40/$E40,0))</f>
        <v/>
      </c>
      <c r="I40" s="8" t="n">
        <v>371139</v>
      </c>
      <c r="J40" s="7" t="n">
        <v>6</v>
      </c>
      <c r="K40" s="5" t="inlineStr">
        <is>
          <t>Lainnya</t>
        </is>
      </c>
      <c r="L40" s="5" t="inlineStr">
        <is>
          <t>—</t>
        </is>
      </c>
      <c r="M40" s="4" t="inlineStr">
        <is>
          <t>—</t>
        </is>
      </c>
    </row>
    <row r="41">
      <c r="A41" s="4" t="n">
        <v>37</v>
      </c>
      <c r="B41" s="5" t="inlineStr">
        <is>
          <t>Beeru</t>
        </is>
      </c>
      <c r="C41" s="5" t="inlineStr">
        <is>
          <t>Beeru Beras Porang Sachet Isi 5 - Shirataki Konjac Rice</t>
        </is>
      </c>
      <c r="D41" s="6" t="inlineStr">
        <is>
          <t>1729772870468142913</t>
        </is>
      </c>
      <c r="E41" s="4" t="inlineStr">
        <is>
          <t>—</t>
        </is>
      </c>
      <c r="F41" s="5" t="inlineStr">
        <is>
          <t>Sachet/Box</t>
        </is>
      </c>
      <c r="G41" s="7" t="n">
        <v>16080</v>
      </c>
      <c r="H41" s="7">
        <f>IF(OR($E41="—",$G41="—"),"—",ROUND($G41/$E41,0))</f>
        <v/>
      </c>
      <c r="I41" s="8" t="n">
        <v>369838</v>
      </c>
      <c r="J41" s="7" t="n">
        <v>23</v>
      </c>
      <c r="K41" s="5" t="inlineStr">
        <is>
          <t>Lainnya</t>
        </is>
      </c>
      <c r="L41" s="5" t="inlineStr">
        <is>
          <t>—</t>
        </is>
      </c>
      <c r="M41" s="4" t="inlineStr">
        <is>
          <t>—</t>
        </is>
      </c>
    </row>
    <row r="42">
      <c r="A42" s="4" t="n">
        <v>38</v>
      </c>
      <c r="B42" s="5" t="inlineStr">
        <is>
          <t>Beeru</t>
        </is>
      </c>
      <c r="C42" s="5" t="inlineStr">
        <is>
          <t>Beeru Stevia 15mL dan Beeru Beras Porang Box</t>
        </is>
      </c>
      <c r="D42" s="6" t="inlineStr">
        <is>
          <t>1729996060040727361</t>
        </is>
      </c>
      <c r="E42" s="4" t="inlineStr">
        <is>
          <t>—</t>
        </is>
      </c>
      <c r="F42" s="5" t="inlineStr">
        <is>
          <t>Sachet/Box</t>
        </is>
      </c>
      <c r="G42" s="7" t="n">
        <v>118257</v>
      </c>
      <c r="H42" s="7">
        <f>IF(OR($E42="—",$G42="—"),"—",ROUND($G42/$E42,0))</f>
        <v/>
      </c>
      <c r="I42" s="8" t="n">
        <v>354770</v>
      </c>
      <c r="J42" s="7" t="n">
        <v>3</v>
      </c>
      <c r="K42" s="5" t="inlineStr">
        <is>
          <t>Stevia/Pemanis</t>
        </is>
      </c>
      <c r="L42" s="5" t="inlineStr">
        <is>
          <t>—</t>
        </is>
      </c>
      <c r="M42" s="4" t="inlineStr">
        <is>
          <t>—</t>
        </is>
      </c>
    </row>
    <row r="43">
      <c r="A43" s="4" t="n">
        <v>39</v>
      </c>
      <c r="B43" s="5" t="inlineStr">
        <is>
          <t>Beeru</t>
        </is>
      </c>
      <c r="C43" s="5" t="inlineStr">
        <is>
          <t>Beeru Kaldu Komplit Set Tanpa MSG</t>
        </is>
      </c>
      <c r="D43" s="6" t="inlineStr">
        <is>
          <t>1729890329953602369</t>
        </is>
      </c>
      <c r="E43" s="4" t="inlineStr">
        <is>
          <t>—</t>
        </is>
      </c>
      <c r="F43" s="5" t="inlineStr">
        <is>
          <t>Tidak tertera</t>
        </is>
      </c>
      <c r="G43" s="7" t="n">
        <v>159010</v>
      </c>
      <c r="H43" s="7">
        <f>IF(OR($E43="—",$G43="—"),"—",ROUND($G43/$E43,0))</f>
        <v/>
      </c>
      <c r="I43" s="8" t="n">
        <v>318020</v>
      </c>
      <c r="J43" s="7" t="n">
        <v>2</v>
      </c>
      <c r="K43" s="5" t="inlineStr">
        <is>
          <t>Lainnya</t>
        </is>
      </c>
      <c r="L43" s="5" t="inlineStr">
        <is>
          <t>—</t>
        </is>
      </c>
      <c r="M43" s="4" t="inlineStr">
        <is>
          <t>—</t>
        </is>
      </c>
    </row>
    <row r="44">
      <c r="A44" s="4" t="n">
        <v>40</v>
      </c>
      <c r="B44" s="5" t="inlineStr">
        <is>
          <t>Beeru</t>
        </is>
      </c>
      <c r="C44" s="5" t="inlineStr">
        <is>
          <t>Beeru Kaldu Ayam 70gr Tanpa MSG Tanpa Garam</t>
        </is>
      </c>
      <c r="D44" s="6" t="inlineStr">
        <is>
          <t>1729881558240037697</t>
        </is>
      </c>
      <c r="E44" s="4" t="n">
        <v>70</v>
      </c>
      <c r="F44" s="5" t="inlineStr">
        <is>
          <t>Tidak tertera</t>
        </is>
      </c>
      <c r="G44" s="7" t="n">
        <v>26312</v>
      </c>
      <c r="H44" s="7">
        <f>IF(OR($E44="—",$G44="—"),"—",ROUND($G44/$E44,0))</f>
        <v/>
      </c>
      <c r="I44" s="8" t="n">
        <v>289429</v>
      </c>
      <c r="J44" s="7" t="n">
        <v>11</v>
      </c>
      <c r="K44" s="5" t="inlineStr">
        <is>
          <t>Lainnya</t>
        </is>
      </c>
      <c r="L44" s="5" t="inlineStr">
        <is>
          <t>—</t>
        </is>
      </c>
      <c r="M44" s="4" t="inlineStr">
        <is>
          <t>—</t>
        </is>
      </c>
    </row>
    <row r="45">
      <c r="A45" s="4" t="n">
        <v>41</v>
      </c>
      <c r="B45" s="5" t="inlineStr">
        <is>
          <t>Beeru</t>
        </is>
      </c>
      <c r="C45" s="5" t="inlineStr">
        <is>
          <t>Beeru Stevia 5ml dan Beeru Beras Porang Pouch 500gr</t>
        </is>
      </c>
      <c r="D45" s="6" t="inlineStr">
        <is>
          <t>1729996054794832705</t>
        </is>
      </c>
      <c r="E45" s="4" t="n">
        <v>500</v>
      </c>
      <c r="F45" s="5" t="inlineStr">
        <is>
          <t>Pouch</t>
        </is>
      </c>
      <c r="G45" s="7" t="n">
        <v>143821</v>
      </c>
      <c r="H45" s="7">
        <f>IF(OR($E45="—",$G45="—"),"—",ROUND($G45/$E45,0))</f>
        <v/>
      </c>
      <c r="I45" s="8" t="n">
        <v>287642</v>
      </c>
      <c r="J45" s="7" t="n">
        <v>2</v>
      </c>
      <c r="K45" s="5" t="inlineStr">
        <is>
          <t>Stevia/Pemanis</t>
        </is>
      </c>
      <c r="L45" s="5" t="inlineStr">
        <is>
          <t>—</t>
        </is>
      </c>
      <c r="M45" s="4" t="inlineStr">
        <is>
          <t>—</t>
        </is>
      </c>
    </row>
    <row r="46">
      <c r="A46" s="4" t="n">
        <v>42</v>
      </c>
      <c r="B46" s="5" t="inlineStr">
        <is>
          <t>Beeru</t>
        </is>
      </c>
      <c r="C46" s="5" t="inlineStr">
        <is>
          <t>Beeru Kaldu Jamur 70gr Tanpa MSG Tanpa Garam</t>
        </is>
      </c>
      <c r="D46" s="6" t="inlineStr">
        <is>
          <t>1729881574032444225</t>
        </is>
      </c>
      <c r="E46" s="4" t="n">
        <v>70</v>
      </c>
      <c r="F46" s="5" t="inlineStr">
        <is>
          <t>Tidak tertera</t>
        </is>
      </c>
      <c r="G46" s="7" t="n">
        <v>16494</v>
      </c>
      <c r="H46" s="7">
        <f>IF(OR($E46="—",$G46="—"),"—",ROUND($G46/$E46,0))</f>
        <v/>
      </c>
      <c r="I46" s="8" t="n">
        <v>280403</v>
      </c>
      <c r="J46" s="7" t="n">
        <v>17</v>
      </c>
      <c r="K46" s="5" t="inlineStr">
        <is>
          <t>Lainnya</t>
        </is>
      </c>
      <c r="L46" s="5" t="inlineStr">
        <is>
          <t>—</t>
        </is>
      </c>
      <c r="M46" s="4" t="inlineStr">
        <is>
          <t>—</t>
        </is>
      </c>
    </row>
    <row r="47">
      <c r="A47" s="4" t="n">
        <v>43</v>
      </c>
      <c r="B47" s="5" t="inlineStr">
        <is>
          <t>Beeru</t>
        </is>
      </c>
      <c r="C47" s="5" t="inlineStr">
        <is>
          <t>Beeru Beras Porang Box Mix</t>
        </is>
      </c>
      <c r="D47" s="6" t="inlineStr">
        <is>
          <t>1736423184109766465</t>
        </is>
      </c>
      <c r="E47" s="4" t="inlineStr">
        <is>
          <t>—</t>
        </is>
      </c>
      <c r="F47" s="5" t="inlineStr">
        <is>
          <t>Sachet/Box</t>
        </is>
      </c>
      <c r="G47" s="7" t="n">
        <v>97452</v>
      </c>
      <c r="H47" s="7">
        <f>IF(OR($E47="—",$G47="—"),"—",ROUND($G47/$E47,0))</f>
        <v/>
      </c>
      <c r="I47" s="8" t="n">
        <v>194903</v>
      </c>
      <c r="J47" s="7" t="n">
        <v>2</v>
      </c>
      <c r="K47" s="5" t="inlineStr">
        <is>
          <t>Lainnya</t>
        </is>
      </c>
      <c r="L47" s="5" t="inlineStr">
        <is>
          <t>—</t>
        </is>
      </c>
      <c r="M47" s="4" t="inlineStr">
        <is>
          <t>—</t>
        </is>
      </c>
    </row>
    <row r="48">
      <c r="A48" s="4" t="n">
        <v>44</v>
      </c>
      <c r="B48" s="5" t="inlineStr">
        <is>
          <t>Beeru</t>
        </is>
      </c>
      <c r="C48" s="5" t="inlineStr">
        <is>
          <t>Beeru Bumbu Sachet Nasi Daun Jeruk isi 5pcs</t>
        </is>
      </c>
      <c r="D48" s="6" t="inlineStr">
        <is>
          <t>1729744591966209857</t>
        </is>
      </c>
      <c r="E48" s="4" t="inlineStr">
        <is>
          <t>—</t>
        </is>
      </c>
      <c r="F48" s="5" t="inlineStr">
        <is>
          <t>Sachet/Box</t>
        </is>
      </c>
      <c r="G48" s="7" t="n">
        <v>11406</v>
      </c>
      <c r="H48" s="7">
        <f>IF(OR($E48="—",$G48="—"),"—",ROUND($G48/$E48,0))</f>
        <v/>
      </c>
      <c r="I48" s="8" t="n">
        <v>102655</v>
      </c>
      <c r="J48" s="7" t="n">
        <v>9</v>
      </c>
      <c r="K48" s="5" t="inlineStr">
        <is>
          <t>Lainnya</t>
        </is>
      </c>
      <c r="L48" s="5" t="inlineStr">
        <is>
          <t>—</t>
        </is>
      </c>
      <c r="M48" s="4" t="inlineStr">
        <is>
          <t>—</t>
        </is>
      </c>
    </row>
    <row r="49">
      <c r="A49" s="4" t="n">
        <v>45</v>
      </c>
      <c r="B49" s="5" t="inlineStr">
        <is>
          <t>Beeru</t>
        </is>
      </c>
      <c r="C49" s="5" t="inlineStr">
        <is>
          <t>Beeru Bumbu Sachet Beras Porang Rasa Nasi Daun Jeruk - Non MSG</t>
        </is>
      </c>
      <c r="D49" s="6" t="inlineStr">
        <is>
          <t>1729722360138270529</t>
        </is>
      </c>
      <c r="E49" s="4" t="inlineStr">
        <is>
          <t>—</t>
        </is>
      </c>
      <c r="F49" s="5" t="inlineStr">
        <is>
          <t>Sachet/Box</t>
        </is>
      </c>
      <c r="G49" s="7" t="n">
        <v>3303</v>
      </c>
      <c r="H49" s="7">
        <f>IF(OR($E49="—",$G49="—"),"—",ROUND($G49/$E49,0))</f>
        <v/>
      </c>
      <c r="I49" s="8" t="n">
        <v>82586</v>
      </c>
      <c r="J49" s="7" t="n">
        <v>25</v>
      </c>
      <c r="K49" s="5" t="inlineStr">
        <is>
          <t>Lainnya</t>
        </is>
      </c>
      <c r="L49" s="5" t="inlineStr">
        <is>
          <t>—</t>
        </is>
      </c>
      <c r="M49" s="4" t="inlineStr">
        <is>
          <t>—</t>
        </is>
      </c>
    </row>
    <row r="50">
      <c r="A50" s="4" t="n">
        <v>46</v>
      </c>
      <c r="B50" s="5" t="inlineStr">
        <is>
          <t>Beeru</t>
        </is>
      </c>
      <c r="C50" s="5" t="inlineStr">
        <is>
          <t>Beeru Bumbu Sachet Beras Porang Rasa Nasi Sapi Lada Hitam - Non MSG</t>
        </is>
      </c>
      <c r="D50" s="6" t="inlineStr">
        <is>
          <t>1730254460590851905</t>
        </is>
      </c>
      <c r="E50" s="4" t="inlineStr">
        <is>
          <t>—</t>
        </is>
      </c>
      <c r="F50" s="5" t="inlineStr">
        <is>
          <t>Sachet/Box</t>
        </is>
      </c>
      <c r="G50" s="7" t="n">
        <v>2675</v>
      </c>
      <c r="H50" s="7">
        <f>IF(OR($E50="—",$G50="—"),"—",ROUND($G50/$E50,0))</f>
        <v/>
      </c>
      <c r="I50" s="8" t="n">
        <v>80260</v>
      </c>
      <c r="J50" s="7" t="n">
        <v>30</v>
      </c>
      <c r="K50" s="5" t="inlineStr">
        <is>
          <t>Lainnya</t>
        </is>
      </c>
      <c r="L50" s="5" t="inlineStr">
        <is>
          <t>—</t>
        </is>
      </c>
      <c r="M50" s="4" t="inlineStr">
        <is>
          <t>—</t>
        </is>
      </c>
    </row>
    <row r="51">
      <c r="A51" s="4" t="n">
        <v>47</v>
      </c>
      <c r="B51" s="5" t="inlineStr">
        <is>
          <t>Beeru</t>
        </is>
      </c>
      <c r="C51" s="5" t="inlineStr">
        <is>
          <t>Beeru Sendok Takar Ukur 236mL</t>
        </is>
      </c>
      <c r="D51" s="6" t="inlineStr">
        <is>
          <t>1731453174161966913</t>
        </is>
      </c>
      <c r="E51" s="4" t="inlineStr">
        <is>
          <t>—</t>
        </is>
      </c>
      <c r="F51" s="5" t="inlineStr">
        <is>
          <t>Tidak tertera</t>
        </is>
      </c>
      <c r="G51" s="7" t="n">
        <v>2326</v>
      </c>
      <c r="H51" s="7">
        <f>IF(OR($E51="—",$G51="—"),"—",ROUND($G51/$E51,0))</f>
        <v/>
      </c>
      <c r="I51" s="8" t="n">
        <v>69783</v>
      </c>
      <c r="J51" s="7" t="n">
        <v>30</v>
      </c>
      <c r="K51" s="5" t="inlineStr">
        <is>
          <t>Alat/Aksesori (non-minuman)</t>
        </is>
      </c>
      <c r="L51" s="5" t="inlineStr">
        <is>
          <t>—</t>
        </is>
      </c>
      <c r="M51" s="4" t="inlineStr">
        <is>
          <t>—</t>
        </is>
      </c>
    </row>
    <row r="52">
      <c r="A52" s="4" t="n">
        <v>48</v>
      </c>
      <c r="B52" s="5" t="inlineStr">
        <is>
          <t>Beeru</t>
        </is>
      </c>
      <c r="C52" s="5" t="inlineStr">
        <is>
          <t>Beeru Tas Tote Bag Serba Guna</t>
        </is>
      </c>
      <c r="D52" s="6" t="inlineStr">
        <is>
          <t>1733879905803077441</t>
        </is>
      </c>
      <c r="E52" s="4" t="inlineStr">
        <is>
          <t>—</t>
        </is>
      </c>
      <c r="F52" s="5" t="inlineStr">
        <is>
          <t>Tidak tertera</t>
        </is>
      </c>
      <c r="G52" s="7" t="n">
        <v>28203</v>
      </c>
      <c r="H52" s="7">
        <f>IF(OR($E52="—",$G52="—"),"—",ROUND($G52/$E52,0))</f>
        <v/>
      </c>
      <c r="I52" s="8" t="n">
        <v>56406</v>
      </c>
      <c r="J52" s="7" t="n">
        <v>2</v>
      </c>
      <c r="K52" s="5" t="inlineStr">
        <is>
          <t>Lainnya</t>
        </is>
      </c>
      <c r="L52" s="5" t="inlineStr">
        <is>
          <t>—</t>
        </is>
      </c>
      <c r="M52" s="4" t="inlineStr">
        <is>
          <t>—</t>
        </is>
      </c>
    </row>
    <row r="53">
      <c r="A53" s="4" t="n">
        <v>49</v>
      </c>
      <c r="B53" s="5" t="inlineStr">
        <is>
          <t>Beeru</t>
        </is>
      </c>
      <c r="C53" s="5" t="inlineStr">
        <is>
          <t>Beeru Kaldu Ikan 100gr Tanpa MSG Tanpa Garam</t>
        </is>
      </c>
      <c r="D53" s="6" t="inlineStr">
        <is>
          <t>1729881511026658113</t>
        </is>
      </c>
      <c r="E53" s="4" t="n">
        <v>100</v>
      </c>
      <c r="F53" s="5" t="inlineStr">
        <is>
          <t>Tidak tertera</t>
        </is>
      </c>
      <c r="G53" s="7" t="n">
        <v>25529</v>
      </c>
      <c r="H53" s="7">
        <f>IF(OR($E53="—",$G53="—"),"—",ROUND($G53/$E53,0))</f>
        <v/>
      </c>
      <c r="I53" s="8" t="n">
        <v>51058</v>
      </c>
      <c r="J53" s="7" t="n">
        <v>2</v>
      </c>
      <c r="K53" s="5" t="inlineStr">
        <is>
          <t>Lainnya</t>
        </is>
      </c>
      <c r="L53" s="5" t="inlineStr">
        <is>
          <t>—</t>
        </is>
      </c>
      <c r="M53" s="4" t="inlineStr">
        <is>
          <t>—</t>
        </is>
      </c>
    </row>
    <row r="54">
      <c r="A54" s="4" t="n">
        <v>50</v>
      </c>
      <c r="B54" s="5" t="inlineStr">
        <is>
          <t>Beeru</t>
        </is>
      </c>
      <c r="C54" s="5" t="inlineStr">
        <is>
          <t>Nasi Hitam Instan Praktis</t>
        </is>
      </c>
      <c r="D54" s="6" t="inlineStr">
        <is>
          <t>1736250287609907009</t>
        </is>
      </c>
      <c r="E54" s="4" t="inlineStr">
        <is>
          <t>—</t>
        </is>
      </c>
      <c r="F54" s="5" t="inlineStr">
        <is>
          <t>Tidak tertera</t>
        </is>
      </c>
      <c r="G54" s="7" t="n">
        <v>42789</v>
      </c>
      <c r="H54" s="7">
        <f>IF(OR($E54="—",$G54="—"),"—",ROUND($G54/$E54,0))</f>
        <v/>
      </c>
      <c r="I54" s="8" t="n">
        <v>42789</v>
      </c>
      <c r="J54" s="7" t="n">
        <v>1</v>
      </c>
      <c r="K54" s="5" t="inlineStr">
        <is>
          <t>Lainnya</t>
        </is>
      </c>
      <c r="L54" s="5" t="inlineStr">
        <is>
          <t>—</t>
        </is>
      </c>
      <c r="M54" s="4" t="inlineStr">
        <is>
          <t>—</t>
        </is>
      </c>
    </row>
    <row r="55">
      <c r="A55" s="4" t="n">
        <v>51</v>
      </c>
      <c r="B55" s="5" t="inlineStr">
        <is>
          <t>Beeru</t>
        </is>
      </c>
      <c r="C55" s="5" t="inlineStr">
        <is>
          <t>Beeru Beras Porang Sachet Isi 3 - Shirataki Konjac Rice</t>
        </is>
      </c>
      <c r="D55" s="6" t="inlineStr">
        <is>
          <t>1729772894639261505</t>
        </is>
      </c>
      <c r="E55" s="4" t="inlineStr">
        <is>
          <t>—</t>
        </is>
      </c>
      <c r="F55" s="5" t="inlineStr">
        <is>
          <t>Sachet/Box</t>
        </is>
      </c>
      <c r="G55" s="7" t="n">
        <v>23094</v>
      </c>
      <c r="H55" s="7">
        <f>IF(OR($E55="—",$G55="—"),"—",ROUND($G55/$E55,0))</f>
        <v/>
      </c>
      <c r="I55" s="8" t="n">
        <v>23094</v>
      </c>
      <c r="J55" s="7" t="n">
        <v>1</v>
      </c>
      <c r="K55" s="5" t="inlineStr">
        <is>
          <t>Lainnya</t>
        </is>
      </c>
      <c r="L55" s="5" t="inlineStr">
        <is>
          <t>—</t>
        </is>
      </c>
      <c r="M55" s="4" t="inlineStr">
        <is>
          <t>—</t>
        </is>
      </c>
    </row>
    <row r="56">
      <c r="A56" s="4" t="n">
        <v>52</v>
      </c>
      <c r="B56" s="5" t="inlineStr">
        <is>
          <t>Beeru</t>
        </is>
      </c>
      <c r="C56" s="5" t="inlineStr">
        <is>
          <t>Beeru Bumbu Sachet Beras Porang Rasa Nasi Gulai isi 5pcs</t>
        </is>
      </c>
      <c r="D56" s="6" t="inlineStr">
        <is>
          <t>1730286278668486465</t>
        </is>
      </c>
      <c r="E56" s="4" t="inlineStr">
        <is>
          <t>—</t>
        </is>
      </c>
      <c r="F56" s="5" t="inlineStr">
        <is>
          <t>Sachet/Box</t>
        </is>
      </c>
      <c r="G56" s="7" t="n">
        <v>17628</v>
      </c>
      <c r="H56" s="7">
        <f>IF(OR($E56="—",$G56="—"),"—",ROUND($G56/$E56,0))</f>
        <v/>
      </c>
      <c r="I56" s="8" t="n">
        <v>17628</v>
      </c>
      <c r="J56" s="7" t="n">
        <v>1</v>
      </c>
      <c r="K56" s="5" t="inlineStr">
        <is>
          <t>Lainnya</t>
        </is>
      </c>
      <c r="L56" s="5" t="inlineStr">
        <is>
          <t>—</t>
        </is>
      </c>
      <c r="M56" s="4" t="inlineStr">
        <is>
          <t>—</t>
        </is>
      </c>
    </row>
    <row r="57">
      <c r="A57" s="13" t="n"/>
      <c r="B57" s="14" t="inlineStr">
        <is>
          <t>TOTAL</t>
        </is>
      </c>
      <c r="C57" s="13" t="n"/>
      <c r="D57" s="13" t="n"/>
      <c r="E57" s="13" t="n"/>
      <c r="F57" s="13" t="n"/>
      <c r="G57" s="13" t="n"/>
      <c r="H57" s="13" t="n"/>
      <c r="I57" s="15">
        <f>SUM(I5:I56)</f>
        <v/>
      </c>
      <c r="J57" s="15">
        <f>SUM(J5:J56)</f>
        <v/>
      </c>
      <c r="K57" s="13" t="n"/>
      <c r="L57" s="13" t="n"/>
      <c r="M5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Semua Produk 5 Brand (Matchamu, Bitenza, PIKULABS, Homelab, Beeru)</t>
        </is>
      </c>
    </row>
    <row r="2">
      <c r="A2" s="2" t="inlineStr">
        <is>
          <t>Total 215 SKU | TikTok Shop Indonesia, 30 hari terakhir | Kalodata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Beeru</t>
        </is>
      </c>
      <c r="C5" s="5" t="inlineStr">
        <is>
          <t>Beeru Stevia Paket Dobel - Sugar Free Manis</t>
        </is>
      </c>
      <c r="D5" s="6" t="inlineStr">
        <is>
          <t>1729581576210320193</t>
        </is>
      </c>
      <c r="E5" s="4" t="inlineStr">
        <is>
          <t>—</t>
        </is>
      </c>
      <c r="F5" s="5" t="inlineStr">
        <is>
          <t>Tidak tertera</t>
        </is>
      </c>
      <c r="G5" s="7" t="n">
        <v>151577</v>
      </c>
      <c r="H5" s="7">
        <f>IF(OR($E5="—",$G5="—"),"—",ROUND($G5/$E5,0))</f>
        <v/>
      </c>
      <c r="I5" s="8" t="n">
        <v>241766098</v>
      </c>
      <c r="J5" s="7" t="n">
        <v>1595</v>
      </c>
      <c r="K5" s="5" t="inlineStr">
        <is>
          <t>Stevia/Pemanis</t>
        </is>
      </c>
      <c r="L5" s="5" t="inlineStr">
        <is>
          <t>—</t>
        </is>
      </c>
      <c r="M5" s="4" t="inlineStr">
        <is>
          <t>—</t>
        </is>
      </c>
    </row>
    <row r="6">
      <c r="A6" s="4" t="n">
        <v>2</v>
      </c>
      <c r="B6" s="5" t="inlineStr">
        <is>
          <t>Beeru</t>
        </is>
      </c>
      <c r="C6" s="5" t="inlineStr">
        <is>
          <t>Beeru Stevia Natural Sweetener 15mL Pengganti Gula</t>
        </is>
      </c>
      <c r="D6" s="6" t="inlineStr">
        <is>
          <t>1729557176748510017</t>
        </is>
      </c>
      <c r="E6" s="4" t="inlineStr">
        <is>
          <t>—</t>
        </is>
      </c>
      <c r="F6" s="5" t="inlineStr">
        <is>
          <t>Tidak tertera</t>
        </is>
      </c>
      <c r="G6" s="7" t="n">
        <v>63508</v>
      </c>
      <c r="H6" s="7">
        <f>IF(OR($E6="—",$G6="—"),"—",ROUND($G6/$E6,0))</f>
        <v/>
      </c>
      <c r="I6" s="8" t="n">
        <v>132668098</v>
      </c>
      <c r="J6" s="7" t="n">
        <v>2089</v>
      </c>
      <c r="K6" s="5" t="inlineStr">
        <is>
          <t>Stevia/Pemanis</t>
        </is>
      </c>
      <c r="L6" s="5" t="inlineStr">
        <is>
          <t>—</t>
        </is>
      </c>
      <c r="M6" s="4" t="inlineStr">
        <is>
          <t>—</t>
        </is>
      </c>
    </row>
    <row r="7">
      <c r="A7" s="4" t="n">
        <v>3</v>
      </c>
      <c r="B7" s="5" t="inlineStr">
        <is>
          <t>Beeru</t>
        </is>
      </c>
      <c r="C7" s="5" t="inlineStr">
        <is>
          <t>Beeru Pure Matcha Powder 50gr - 100% Bubuk Matcha Premium Japan</t>
        </is>
      </c>
      <c r="D7" s="6" t="inlineStr">
        <is>
          <t>1729563573420984129</t>
        </is>
      </c>
      <c r="E7" s="4" t="n">
        <v>50</v>
      </c>
      <c r="F7" s="5" t="inlineStr">
        <is>
          <t>Tidak tertera</t>
        </is>
      </c>
      <c r="G7" s="7" t="n">
        <v>51519</v>
      </c>
      <c r="H7" s="7">
        <f>IF(OR($E7="—",$G7="—"),"—",ROUND($G7/$E7,0))</f>
        <v/>
      </c>
      <c r="I7" s="8" t="n">
        <v>67490151</v>
      </c>
      <c r="J7" s="7" t="n">
        <v>1310</v>
      </c>
      <c r="K7" s="5" t="inlineStr">
        <is>
          <t>Matcha</t>
        </is>
      </c>
      <c r="L7" s="5" t="inlineStr">
        <is>
          <t>Premium</t>
        </is>
      </c>
      <c r="M7" s="12" t="n">
        <v>2</v>
      </c>
    </row>
    <row r="8">
      <c r="A8" s="4" t="n">
        <v>4</v>
      </c>
      <c r="B8" s="5" t="inlineStr">
        <is>
          <t>Beeru</t>
        </is>
      </c>
      <c r="C8" s="5" t="inlineStr">
        <is>
          <t>Beeru Beras Porang Pouch 1 Kg - Shirataki Konjac Rice</t>
        </is>
      </c>
      <c r="D8" s="6" t="inlineStr">
        <is>
          <t>1729985233673030465</t>
        </is>
      </c>
      <c r="E8" s="4" t="n">
        <v>1000</v>
      </c>
      <c r="F8" s="5" t="inlineStr">
        <is>
          <t>Pouch</t>
        </is>
      </c>
      <c r="G8" s="7" t="n">
        <v>161869</v>
      </c>
      <c r="H8" s="7">
        <f>IF(OR($E8="—",$G8="—"),"—",ROUND($G8/$E8,0))</f>
        <v/>
      </c>
      <c r="I8" s="8" t="n">
        <v>57301467</v>
      </c>
      <c r="J8" s="7" t="n">
        <v>354</v>
      </c>
      <c r="K8" s="5" t="inlineStr">
        <is>
          <t>Lainnya</t>
        </is>
      </c>
      <c r="L8" s="5" t="inlineStr">
        <is>
          <t>—</t>
        </is>
      </c>
      <c r="M8" s="4" t="inlineStr">
        <is>
          <t>—</t>
        </is>
      </c>
    </row>
    <row r="9">
      <c r="A9" s="4" t="n">
        <v>5</v>
      </c>
      <c r="B9" s="5" t="inlineStr">
        <is>
          <t>Beeru</t>
        </is>
      </c>
      <c r="C9" s="5" t="inlineStr">
        <is>
          <t>Beeru Stevia Paket Beerdua - Pengganti Gula Manis Sugar Free</t>
        </is>
      </c>
      <c r="D9" s="6" t="inlineStr">
        <is>
          <t>1729570100125600577</t>
        </is>
      </c>
      <c r="E9" s="4" t="inlineStr">
        <is>
          <t>—</t>
        </is>
      </c>
      <c r="F9" s="5" t="inlineStr">
        <is>
          <t>Tidak tertera</t>
        </is>
      </c>
      <c r="G9" s="7" t="n">
        <v>140461</v>
      </c>
      <c r="H9" s="7">
        <f>IF(OR($E9="—",$G9="—"),"—",ROUND($G9/$E9,0))</f>
        <v/>
      </c>
      <c r="I9" s="8" t="n">
        <v>42559824</v>
      </c>
      <c r="J9" s="7" t="n">
        <v>303</v>
      </c>
      <c r="K9" s="5" t="inlineStr">
        <is>
          <t>Stevia/Pemanis</t>
        </is>
      </c>
      <c r="L9" s="5" t="inlineStr">
        <is>
          <t>—</t>
        </is>
      </c>
      <c r="M9" s="4" t="inlineStr">
        <is>
          <t>—</t>
        </is>
      </c>
    </row>
    <row r="10">
      <c r="A10" s="4" t="n">
        <v>6</v>
      </c>
      <c r="B10" s="5" t="inlineStr">
        <is>
          <t>Beeru</t>
        </is>
      </c>
      <c r="C10" s="5" t="inlineStr">
        <is>
          <t>Beeru Pure Matcha Powder 100gr - 100% Bubuk Matcha Premium Japan</t>
        </is>
      </c>
      <c r="D10" s="6" t="inlineStr">
        <is>
          <t>1729858085833444161</t>
        </is>
      </c>
      <c r="E10" s="4" t="n">
        <v>100</v>
      </c>
      <c r="F10" s="5" t="inlineStr">
        <is>
          <t>Tidak tertera</t>
        </is>
      </c>
      <c r="G10" s="7" t="n">
        <v>118111</v>
      </c>
      <c r="H10" s="7">
        <f>IF(OR($E10="—",$G10="—"),"—",ROUND($G10/$E10,0))</f>
        <v/>
      </c>
      <c r="I10" s="8" t="n">
        <v>31417585</v>
      </c>
      <c r="J10" s="7" t="n">
        <v>266</v>
      </c>
      <c r="K10" s="5" t="inlineStr">
        <is>
          <t>Matcha</t>
        </is>
      </c>
      <c r="L10" s="5" t="inlineStr">
        <is>
          <t>Premium</t>
        </is>
      </c>
      <c r="M10" s="12" t="n">
        <v>2</v>
      </c>
    </row>
    <row r="11">
      <c r="A11" s="4" t="n">
        <v>7</v>
      </c>
      <c r="B11" s="5" t="inlineStr">
        <is>
          <t>Beeru</t>
        </is>
      </c>
      <c r="C11" s="5" t="inlineStr">
        <is>
          <t>Beeru Stevia Natural Sweetener 5mL Pengganti Gula</t>
        </is>
      </c>
      <c r="D11" s="6" t="inlineStr">
        <is>
          <t>1729557178931383105</t>
        </is>
      </c>
      <c r="E11" s="4" t="inlineStr">
        <is>
          <t>—</t>
        </is>
      </c>
      <c r="F11" s="5" t="inlineStr">
        <is>
          <t>Tidak tertera</t>
        </is>
      </c>
      <c r="G11" s="7" t="n">
        <v>18471</v>
      </c>
      <c r="H11" s="7">
        <f>IF(OR($E11="—",$G11="—"),"—",ROUND($G11/$E11,0))</f>
        <v/>
      </c>
      <c r="I11" s="8" t="n">
        <v>31383059</v>
      </c>
      <c r="J11" s="7" t="n">
        <v>1699</v>
      </c>
      <c r="K11" s="5" t="inlineStr">
        <is>
          <t>Stevia/Pemanis</t>
        </is>
      </c>
      <c r="L11" s="5" t="inlineStr">
        <is>
          <t>—</t>
        </is>
      </c>
      <c r="M11" s="4" t="inlineStr">
        <is>
          <t>—</t>
        </is>
      </c>
    </row>
    <row r="12">
      <c r="A12" s="4" t="n">
        <v>8</v>
      </c>
      <c r="B12" s="5" t="inlineStr">
        <is>
          <t>Beeru</t>
        </is>
      </c>
      <c r="C12" s="5" t="inlineStr">
        <is>
          <t>Beeru Stevia Paket Serumah Pengganti Gula</t>
        </is>
      </c>
      <c r="D12" s="6" t="inlineStr">
        <is>
          <t>1729650196288146241</t>
        </is>
      </c>
      <c r="E12" s="4" t="inlineStr">
        <is>
          <t>—</t>
        </is>
      </c>
      <c r="F12" s="5" t="inlineStr">
        <is>
          <t>Tidak tertera</t>
        </is>
      </c>
      <c r="G12" s="7" t="n">
        <v>231576</v>
      </c>
      <c r="H12" s="7">
        <f>IF(OR($E12="—",$G12="—"),"—",ROUND($G12/$E12,0))</f>
        <v/>
      </c>
      <c r="I12" s="8" t="n">
        <v>22462831</v>
      </c>
      <c r="J12" s="7" t="n">
        <v>97</v>
      </c>
      <c r="K12" s="5" t="inlineStr">
        <is>
          <t>Stevia/Pemanis</t>
        </is>
      </c>
      <c r="L12" s="5" t="inlineStr">
        <is>
          <t>—</t>
        </is>
      </c>
      <c r="M12" s="4" t="inlineStr">
        <is>
          <t>—</t>
        </is>
      </c>
    </row>
    <row r="13">
      <c r="A13" s="4" t="n">
        <v>9</v>
      </c>
      <c r="B13" s="5" t="inlineStr">
        <is>
          <t>Beeru</t>
        </is>
      </c>
      <c r="C13" s="5" t="inlineStr">
        <is>
          <t>Beeru Beras Porang Merah Box - Shirataki Konjac Rice</t>
        </is>
      </c>
      <c r="D13" s="6" t="inlineStr">
        <is>
          <t>1734462438843385665</t>
        </is>
      </c>
      <c r="E13" s="4" t="inlineStr">
        <is>
          <t>—</t>
        </is>
      </c>
      <c r="F13" s="5" t="inlineStr">
        <is>
          <t>Sachet/Box</t>
        </is>
      </c>
      <c r="G13" s="7" t="n">
        <v>45486</v>
      </c>
      <c r="H13" s="7">
        <f>IF(OR($E13="—",$G13="—"),"—",ROUND($G13/$E13,0))</f>
        <v/>
      </c>
      <c r="I13" s="8" t="n">
        <v>21833291</v>
      </c>
      <c r="J13" s="7" t="n">
        <v>480</v>
      </c>
      <c r="K13" s="5" t="inlineStr">
        <is>
          <t>Lainnya</t>
        </is>
      </c>
      <c r="L13" s="5" t="inlineStr">
        <is>
          <t>—</t>
        </is>
      </c>
      <c r="M13" s="4" t="inlineStr">
        <is>
          <t>—</t>
        </is>
      </c>
    </row>
    <row r="14">
      <c r="A14" s="4" t="n">
        <v>10</v>
      </c>
      <c r="B14" s="5" t="inlineStr">
        <is>
          <t>Beeru</t>
        </is>
      </c>
      <c r="C14" s="5" t="inlineStr">
        <is>
          <t>Beeru Beras Porang isi 2 Pouch 1 Kg - Shirataki Konjac Rice</t>
        </is>
      </c>
      <c r="D14" s="6" t="inlineStr">
        <is>
          <t>1729772837002839873</t>
        </is>
      </c>
      <c r="E14" s="4" t="n">
        <v>1000</v>
      </c>
      <c r="F14" s="5" t="inlineStr">
        <is>
          <t>Pouch</t>
        </is>
      </c>
      <c r="G14" s="7" t="n">
        <v>372306</v>
      </c>
      <c r="H14" s="7">
        <f>IF(OR($E14="—",$G14="—"),"—",ROUND($G14/$E14,0))</f>
        <v/>
      </c>
      <c r="I14" s="8" t="n">
        <v>16753770</v>
      </c>
      <c r="J14" s="7" t="n">
        <v>45</v>
      </c>
      <c r="K14" s="5" t="inlineStr">
        <is>
          <t>Lainnya</t>
        </is>
      </c>
      <c r="L14" s="5" t="inlineStr">
        <is>
          <t>—</t>
        </is>
      </c>
      <c r="M14" s="4" t="inlineStr">
        <is>
          <t>—</t>
        </is>
      </c>
    </row>
    <row r="15">
      <c r="A15" s="4" t="n">
        <v>11</v>
      </c>
      <c r="B15" s="5" t="inlineStr">
        <is>
          <t>Beeru</t>
        </is>
      </c>
      <c r="C15" s="5" t="inlineStr">
        <is>
          <t>Beeru Stevia Paket Sikembar Pengganti Gula</t>
        </is>
      </c>
      <c r="D15" s="6" t="inlineStr">
        <is>
          <t>1729649712104966977</t>
        </is>
      </c>
      <c r="E15" s="4" t="inlineStr">
        <is>
          <t>—</t>
        </is>
      </c>
      <c r="F15" s="5" t="inlineStr">
        <is>
          <t>Tidak tertera</t>
        </is>
      </c>
      <c r="G15" s="7" t="n">
        <v>92539</v>
      </c>
      <c r="H15" s="7">
        <f>IF(OR($E15="—",$G15="—"),"—",ROUND($G15/$E15,0))</f>
        <v/>
      </c>
      <c r="I15" s="8" t="n">
        <v>16749472</v>
      </c>
      <c r="J15" s="7" t="n">
        <v>181</v>
      </c>
      <c r="K15" s="5" t="inlineStr">
        <is>
          <t>Stevia/Pemanis</t>
        </is>
      </c>
      <c r="L15" s="5" t="inlineStr">
        <is>
          <t>—</t>
        </is>
      </c>
      <c r="M15" s="4" t="inlineStr">
        <is>
          <t>—</t>
        </is>
      </c>
    </row>
    <row r="16">
      <c r="A16" s="4" t="n">
        <v>12</v>
      </c>
      <c r="B16" s="5" t="inlineStr">
        <is>
          <t>Beeru</t>
        </is>
      </c>
      <c r="C16" s="5" t="inlineStr">
        <is>
          <t>Beeru Beras Porang Box - Shirataki Konjac Rice</t>
        </is>
      </c>
      <c r="D16" s="6" t="inlineStr">
        <is>
          <t>1729985218221083457</t>
        </is>
      </c>
      <c r="E16" s="4" t="inlineStr">
        <is>
          <t>—</t>
        </is>
      </c>
      <c r="F16" s="5" t="inlineStr">
        <is>
          <t>Sachet/Box</t>
        </is>
      </c>
      <c r="G16" s="7" t="n">
        <v>40071</v>
      </c>
      <c r="H16" s="7">
        <f>IF(OR($E16="—",$G16="—"),"—",ROUND($G16/$E16,0))</f>
        <v/>
      </c>
      <c r="I16" s="8" t="n">
        <v>13944668</v>
      </c>
      <c r="J16" s="7" t="n">
        <v>348</v>
      </c>
      <c r="K16" s="5" t="inlineStr">
        <is>
          <t>Lainnya</t>
        </is>
      </c>
      <c r="L16" s="5" t="inlineStr">
        <is>
          <t>—</t>
        </is>
      </c>
      <c r="M16" s="4" t="inlineStr">
        <is>
          <t>—</t>
        </is>
      </c>
    </row>
    <row r="17">
      <c r="A17" s="4" t="n">
        <v>13</v>
      </c>
      <c r="B17" s="5" t="inlineStr">
        <is>
          <t>Beeru</t>
        </is>
      </c>
      <c r="C17" s="5" t="inlineStr">
        <is>
          <t>Beeru Beras Porang Merah Pouch 1 Kg - Shirataki Konjac Rice</t>
        </is>
      </c>
      <c r="D17" s="6" t="inlineStr">
        <is>
          <t>1734462554282428225</t>
        </is>
      </c>
      <c r="E17" s="4" t="n">
        <v>1000</v>
      </c>
      <c r="F17" s="5" t="inlineStr">
        <is>
          <t>Pouch</t>
        </is>
      </c>
      <c r="G17" s="7" t="n">
        <v>165814</v>
      </c>
      <c r="H17" s="7">
        <f>IF(OR($E17="—",$G17="—"),"—",ROUND($G17/$E17,0))</f>
        <v/>
      </c>
      <c r="I17" s="8" t="n">
        <v>13430933</v>
      </c>
      <c r="J17" s="7" t="n">
        <v>81</v>
      </c>
      <c r="K17" s="5" t="inlineStr">
        <is>
          <t>Lainnya</t>
        </is>
      </c>
      <c r="L17" s="5" t="inlineStr">
        <is>
          <t>—</t>
        </is>
      </c>
      <c r="M17" s="4" t="inlineStr">
        <is>
          <t>—</t>
        </is>
      </c>
    </row>
    <row r="18">
      <c r="A18" s="4" t="n">
        <v>14</v>
      </c>
      <c r="B18" s="5" t="inlineStr">
        <is>
          <t>Beeru</t>
        </is>
      </c>
      <c r="C18" s="5" t="inlineStr">
        <is>
          <t>Beeru Beras Porang Isi 2 Box - Shirataki Konjac Rice</t>
        </is>
      </c>
      <c r="D18" s="6" t="inlineStr">
        <is>
          <t>1729995463333677889</t>
        </is>
      </c>
      <c r="E18" s="4" t="inlineStr">
        <is>
          <t>—</t>
        </is>
      </c>
      <c r="F18" s="5" t="inlineStr">
        <is>
          <t>Sachet/Box</t>
        </is>
      </c>
      <c r="G18" s="7" t="n">
        <v>87740</v>
      </c>
      <c r="H18" s="7">
        <f>IF(OR($E18="—",$G18="—"),"—",ROUND($G18/$E18,0))</f>
        <v/>
      </c>
      <c r="I18" s="8" t="n">
        <v>6229535</v>
      </c>
      <c r="J18" s="7" t="n">
        <v>71</v>
      </c>
      <c r="K18" s="5" t="inlineStr">
        <is>
          <t>Lainnya</t>
        </is>
      </c>
      <c r="L18" s="5" t="inlineStr">
        <is>
          <t>—</t>
        </is>
      </c>
      <c r="M18" s="4" t="inlineStr">
        <is>
          <t>—</t>
        </is>
      </c>
    </row>
    <row r="19">
      <c r="A19" s="4" t="n">
        <v>15</v>
      </c>
      <c r="B19" s="5" t="inlineStr">
        <is>
          <t>Beeru</t>
        </is>
      </c>
      <c r="C19" s="5" t="inlineStr">
        <is>
          <t>Beeru Beras Porang Hitam Box - Shirataki Konjac Rice</t>
        </is>
      </c>
      <c r="D19" s="6" t="inlineStr">
        <is>
          <t>1734022278309513025</t>
        </is>
      </c>
      <c r="E19" s="4" t="inlineStr">
        <is>
          <t>—</t>
        </is>
      </c>
      <c r="F19" s="5" t="inlineStr">
        <is>
          <t>Sachet/Box</t>
        </is>
      </c>
      <c r="G19" s="7" t="n">
        <v>45646</v>
      </c>
      <c r="H19" s="7">
        <f>IF(OR($E19="—",$G19="—"),"—",ROUND($G19/$E19,0))</f>
        <v/>
      </c>
      <c r="I19" s="8" t="n">
        <v>5249299</v>
      </c>
      <c r="J19" s="7" t="n">
        <v>115</v>
      </c>
      <c r="K19" s="5" t="inlineStr">
        <is>
          <t>Lainnya</t>
        </is>
      </c>
      <c r="L19" s="5" t="inlineStr">
        <is>
          <t>—</t>
        </is>
      </c>
      <c r="M19" s="4" t="inlineStr">
        <is>
          <t>—</t>
        </is>
      </c>
    </row>
    <row r="20">
      <c r="A20" s="4" t="n">
        <v>16</v>
      </c>
      <c r="B20" s="5" t="inlineStr">
        <is>
          <t>Beeru</t>
        </is>
      </c>
      <c r="C20" s="5" t="inlineStr">
        <is>
          <t>Beeru Beras Porang Hitam Pouch 1 Kg - Shirataki Konjac Rice</t>
        </is>
      </c>
      <c r="D20" s="6" t="inlineStr">
        <is>
          <t>1734021542784501569</t>
        </is>
      </c>
      <c r="E20" s="4" t="n">
        <v>1000</v>
      </c>
      <c r="F20" s="5" t="inlineStr">
        <is>
          <t>Pouch</t>
        </is>
      </c>
      <c r="G20" s="7" t="n">
        <v>162730</v>
      </c>
      <c r="H20" s="7">
        <f>IF(OR($E20="—",$G20="—"),"—",ROUND($G20/$E20,0))</f>
        <v/>
      </c>
      <c r="I20" s="8" t="n">
        <v>5207357</v>
      </c>
      <c r="J20" s="7" t="n">
        <v>32</v>
      </c>
      <c r="K20" s="5" t="inlineStr">
        <is>
          <t>Lainnya</t>
        </is>
      </c>
      <c r="L20" s="5" t="inlineStr">
        <is>
          <t>—</t>
        </is>
      </c>
      <c r="M20" s="4" t="inlineStr">
        <is>
          <t>—</t>
        </is>
      </c>
    </row>
    <row r="21">
      <c r="A21" s="4" t="n">
        <v>17</v>
      </c>
      <c r="B21" s="5" t="inlineStr">
        <is>
          <t>Beeru</t>
        </is>
      </c>
      <c r="C21" s="5" t="inlineStr">
        <is>
          <t>Beeru Beras Porang Merah isi 2 Pouch 1 Kg - Shirataki Konjac Rice</t>
        </is>
      </c>
      <c r="D21" s="6" t="inlineStr">
        <is>
          <t>1734486515917293377</t>
        </is>
      </c>
      <c r="E21" s="4" t="n">
        <v>1000</v>
      </c>
      <c r="F21" s="5" t="inlineStr">
        <is>
          <t>Pouch</t>
        </is>
      </c>
      <c r="G21" s="7" t="n">
        <v>375017</v>
      </c>
      <c r="H21" s="7">
        <f>IF(OR($E21="—",$G21="—"),"—",ROUND($G21/$E21,0))</f>
        <v/>
      </c>
      <c r="I21" s="8" t="n">
        <v>4875226</v>
      </c>
      <c r="J21" s="7" t="n">
        <v>13</v>
      </c>
      <c r="K21" s="5" t="inlineStr">
        <is>
          <t>Lainnya</t>
        </is>
      </c>
      <c r="L21" s="5" t="inlineStr">
        <is>
          <t>—</t>
        </is>
      </c>
      <c r="M21" s="4" t="inlineStr">
        <is>
          <t>—</t>
        </is>
      </c>
    </row>
    <row r="22">
      <c r="A22" s="4" t="n">
        <v>18</v>
      </c>
      <c r="B22" s="5" t="inlineStr">
        <is>
          <t>Beeru</t>
        </is>
      </c>
      <c r="C22" s="5" t="inlineStr">
        <is>
          <t>Beeru Beras Porang Kardus isi 12 Pouch 1kg - Shirataki Konjac Rice</t>
        </is>
      </c>
      <c r="D22" s="6" t="inlineStr">
        <is>
          <t>1729699948078270273</t>
        </is>
      </c>
      <c r="E22" s="4" t="n">
        <v>1000</v>
      </c>
      <c r="F22" s="5" t="inlineStr">
        <is>
          <t>Pouch</t>
        </is>
      </c>
      <c r="G22" s="7" t="n">
        <v>2358952</v>
      </c>
      <c r="H22" s="7">
        <f>IF(OR($E22="—",$G22="—"),"—",ROUND($G22/$E22,0))</f>
        <v/>
      </c>
      <c r="I22" s="8" t="n">
        <v>4717903</v>
      </c>
      <c r="J22" s="7" t="n">
        <v>2</v>
      </c>
      <c r="K22" s="5" t="inlineStr">
        <is>
          <t>Lainnya</t>
        </is>
      </c>
      <c r="L22" s="5" t="inlineStr">
        <is>
          <t>—</t>
        </is>
      </c>
      <c r="M22" s="4" t="inlineStr">
        <is>
          <t>—</t>
        </is>
      </c>
    </row>
    <row r="23">
      <c r="A23" s="4" t="n">
        <v>19</v>
      </c>
      <c r="B23" s="5" t="inlineStr">
        <is>
          <t>Beeru</t>
        </is>
      </c>
      <c r="C23" s="5" t="inlineStr">
        <is>
          <t>Beeru Ceremonial Matcha Jepang u.01 30gr</t>
        </is>
      </c>
      <c r="D23" s="6" t="inlineStr">
        <is>
          <t>1733794794123331393</t>
        </is>
      </c>
      <c r="E23" s="4" t="n">
        <v>30</v>
      </c>
      <c r="F23" s="5" t="inlineStr">
        <is>
          <t>Tidak tertera</t>
        </is>
      </c>
      <c r="G23" s="7" t="n">
        <v>345161</v>
      </c>
      <c r="H23" s="7">
        <f>IF(OR($E23="—",$G23="—"),"—",ROUND($G23/$E23,0))</f>
        <v/>
      </c>
      <c r="I23" s="8" t="n">
        <v>4487094</v>
      </c>
      <c r="J23" s="7" t="n">
        <v>13</v>
      </c>
      <c r="K23" s="5" t="inlineStr">
        <is>
          <t>Matcha</t>
        </is>
      </c>
      <c r="L23" s="5" t="inlineStr">
        <is>
          <t>Ceremonial</t>
        </is>
      </c>
      <c r="M23" s="9" t="n">
        <v>1</v>
      </c>
    </row>
    <row r="24">
      <c r="A24" s="4" t="n">
        <v>20</v>
      </c>
      <c r="B24" s="5" t="inlineStr">
        <is>
          <t>Beeru</t>
        </is>
      </c>
      <c r="C24" s="5" t="inlineStr">
        <is>
          <t>Beeru Beras Porang Isi 5 Box - Shirataki Konjac Rice</t>
        </is>
      </c>
      <c r="D24" s="6" t="inlineStr">
        <is>
          <t>1729995452360264513</t>
        </is>
      </c>
      <c r="E24" s="4" t="inlineStr">
        <is>
          <t>—</t>
        </is>
      </c>
      <c r="F24" s="5" t="inlineStr">
        <is>
          <t>Sachet/Box</t>
        </is>
      </c>
      <c r="G24" s="7" t="n">
        <v>275966</v>
      </c>
      <c r="H24" s="7">
        <f>IF(OR($E24="—",$G24="—"),"—",ROUND($G24/$E24,0))</f>
        <v/>
      </c>
      <c r="I24" s="8" t="n">
        <v>4415448</v>
      </c>
      <c r="J24" s="7" t="n">
        <v>16</v>
      </c>
      <c r="K24" s="5" t="inlineStr">
        <is>
          <t>Lainnya</t>
        </is>
      </c>
      <c r="L24" s="5" t="inlineStr">
        <is>
          <t>—</t>
        </is>
      </c>
      <c r="M24" s="4" t="inlineStr">
        <is>
          <t>—</t>
        </is>
      </c>
    </row>
    <row r="25">
      <c r="A25" s="4" t="n">
        <v>21</v>
      </c>
      <c r="B25" s="5" t="inlineStr">
        <is>
          <t>Beeru</t>
        </is>
      </c>
      <c r="C25" s="5" t="inlineStr">
        <is>
          <t>Beeru Beras Porang Isi 2 Pouch 500gr - Shirataki Konjac Rice</t>
        </is>
      </c>
      <c r="D25" s="6" t="inlineStr">
        <is>
          <t>1729772886717204289</t>
        </is>
      </c>
      <c r="E25" s="4" t="n">
        <v>500</v>
      </c>
      <c r="F25" s="5" t="inlineStr">
        <is>
          <t>Pouch</t>
        </is>
      </c>
      <c r="G25" s="7" t="n">
        <v>201581</v>
      </c>
      <c r="H25" s="7">
        <f>IF(OR($E25="—",$G25="—"),"—",ROUND($G25/$E25,0))</f>
        <v/>
      </c>
      <c r="I25" s="8" t="n">
        <v>3628466</v>
      </c>
      <c r="J25" s="7" t="n">
        <v>18</v>
      </c>
      <c r="K25" s="5" t="inlineStr">
        <is>
          <t>Lainnya</t>
        </is>
      </c>
      <c r="L25" s="5" t="inlineStr">
        <is>
          <t>—</t>
        </is>
      </c>
      <c r="M25" s="4" t="inlineStr">
        <is>
          <t>—</t>
        </is>
      </c>
    </row>
    <row r="26">
      <c r="A26" s="4" t="n">
        <v>22</v>
      </c>
      <c r="B26" s="5" t="inlineStr">
        <is>
          <t>Beeru</t>
        </is>
      </c>
      <c r="C26" s="5" t="inlineStr">
        <is>
          <t>Beeru Beras Porang Merah Isi 2 Box - Shirataki Konjac Rice</t>
        </is>
      </c>
      <c r="D26" s="6" t="inlineStr">
        <is>
          <t>1734486722896299841</t>
        </is>
      </c>
      <c r="E26" s="4" t="inlineStr">
        <is>
          <t>—</t>
        </is>
      </c>
      <c r="F26" s="5" t="inlineStr">
        <is>
          <t>Sachet/Box</t>
        </is>
      </c>
      <c r="G26" s="7" t="n">
        <v>107638</v>
      </c>
      <c r="H26" s="7">
        <f>IF(OR($E26="—",$G26="—"),"—",ROUND($G26/$E26,0))</f>
        <v/>
      </c>
      <c r="I26" s="8" t="n">
        <v>3229152</v>
      </c>
      <c r="J26" s="7" t="n">
        <v>30</v>
      </c>
      <c r="K26" s="5" t="inlineStr">
        <is>
          <t>Lainnya</t>
        </is>
      </c>
      <c r="L26" s="5" t="inlineStr">
        <is>
          <t>—</t>
        </is>
      </c>
      <c r="M26" s="4" t="inlineStr">
        <is>
          <t>—</t>
        </is>
      </c>
    </row>
    <row r="27">
      <c r="A27" s="4" t="n">
        <v>23</v>
      </c>
      <c r="B27" s="5" t="inlineStr">
        <is>
          <t>Beeru</t>
        </is>
      </c>
      <c r="C27" s="5" t="inlineStr">
        <is>
          <t>Beeru Nori Rumput Laut Tabur Rasa Original 35gr Tanpa MSG Tanpa Pengawet Seaweed</t>
        </is>
      </c>
      <c r="D27" s="6" t="inlineStr">
        <is>
          <t>1731033985812039489</t>
        </is>
      </c>
      <c r="E27" s="4" t="n">
        <v>35</v>
      </c>
      <c r="F27" s="5" t="inlineStr">
        <is>
          <t>Tidak tertera</t>
        </is>
      </c>
      <c r="G27" s="7" t="n">
        <v>39687</v>
      </c>
      <c r="H27" s="7">
        <f>IF(OR($E27="—",$G27="—"),"—",ROUND($G27/$E27,0))</f>
        <v/>
      </c>
      <c r="I27" s="8" t="n">
        <v>2817752</v>
      </c>
      <c r="J27" s="7" t="n">
        <v>71</v>
      </c>
      <c r="K27" s="5" t="inlineStr">
        <is>
          <t>Lainnya</t>
        </is>
      </c>
      <c r="L27" s="5" t="inlineStr">
        <is>
          <t>—</t>
        </is>
      </c>
      <c r="M27" s="4" t="inlineStr">
        <is>
          <t>—</t>
        </is>
      </c>
    </row>
    <row r="28">
      <c r="A28" s="4" t="n">
        <v>24</v>
      </c>
      <c r="B28" s="5" t="inlineStr">
        <is>
          <t>Beeru</t>
        </is>
      </c>
      <c r="C28" s="5" t="inlineStr">
        <is>
          <t>Beeru Botol Kosong Mungil 2mL</t>
        </is>
      </c>
      <c r="D28" s="6" t="inlineStr">
        <is>
          <t>1729874726598183745</t>
        </is>
      </c>
      <c r="E28" s="4" t="inlineStr">
        <is>
          <t>—</t>
        </is>
      </c>
      <c r="F28" s="5" t="inlineStr">
        <is>
          <t>Tidak tertera</t>
        </is>
      </c>
      <c r="G28" s="7" t="n">
        <v>6004</v>
      </c>
      <c r="H28" s="7">
        <f>IF(OR($E28="—",$G28="—"),"—",ROUND($G28/$E28,0))</f>
        <v/>
      </c>
      <c r="I28" s="8" t="n">
        <v>2749921</v>
      </c>
      <c r="J28" s="7" t="n">
        <v>458</v>
      </c>
      <c r="K28" s="5" t="inlineStr">
        <is>
          <t>Lainnya</t>
        </is>
      </c>
      <c r="L28" s="5" t="inlineStr">
        <is>
          <t>—</t>
        </is>
      </c>
      <c r="M28" s="4" t="inlineStr">
        <is>
          <t>—</t>
        </is>
      </c>
    </row>
    <row r="29">
      <c r="A29" s="4" t="n">
        <v>25</v>
      </c>
      <c r="B29" s="5" t="inlineStr">
        <is>
          <t>Beeru</t>
        </is>
      </c>
      <c r="C29" s="5" t="inlineStr">
        <is>
          <t>Beeru Kaldu Sapi 100gr Tanpa MSG</t>
        </is>
      </c>
      <c r="D29" s="6" t="inlineStr">
        <is>
          <t>1729881495023094593</t>
        </is>
      </c>
      <c r="E29" s="4" t="n">
        <v>100</v>
      </c>
      <c r="F29" s="5" t="inlineStr">
        <is>
          <t>Tidak tertera</t>
        </is>
      </c>
      <c r="G29" s="7" t="n">
        <v>47057</v>
      </c>
      <c r="H29" s="7">
        <f>IF(OR($E29="—",$G29="—"),"—",ROUND($G29/$E29,0))</f>
        <v/>
      </c>
      <c r="I29" s="8" t="n">
        <v>2588139</v>
      </c>
      <c r="J29" s="7" t="n">
        <v>55</v>
      </c>
      <c r="K29" s="5" t="inlineStr">
        <is>
          <t>Lainnya</t>
        </is>
      </c>
      <c r="L29" s="5" t="inlineStr">
        <is>
          <t>—</t>
        </is>
      </c>
      <c r="M29" s="4" t="inlineStr">
        <is>
          <t>—</t>
        </is>
      </c>
    </row>
    <row r="30">
      <c r="A30" s="4" t="n">
        <v>26</v>
      </c>
      <c r="B30" s="5" t="inlineStr">
        <is>
          <t>Beeru</t>
        </is>
      </c>
      <c r="C30" s="5" t="inlineStr">
        <is>
          <t>Beeru Ceremonial Matcha Alt E.02 30gr</t>
        </is>
      </c>
      <c r="D30" s="6" t="inlineStr">
        <is>
          <t>1733014147823404865</t>
        </is>
      </c>
      <c r="E30" s="4" t="n">
        <v>30</v>
      </c>
      <c r="F30" s="5" t="inlineStr">
        <is>
          <t>Tidak tertera</t>
        </is>
      </c>
      <c r="G30" s="7" t="n">
        <v>171142</v>
      </c>
      <c r="H30" s="7">
        <f>IF(OR($E30="—",$G30="—"),"—",ROUND($G30/$E30,0))</f>
        <v/>
      </c>
      <c r="I30" s="8" t="n">
        <v>2567124</v>
      </c>
      <c r="J30" s="7" t="n">
        <v>15</v>
      </c>
      <c r="K30" s="5" t="inlineStr">
        <is>
          <t>Matcha</t>
        </is>
      </c>
      <c r="L30" s="5" t="inlineStr">
        <is>
          <t>Ceremonial</t>
        </is>
      </c>
      <c r="M30" s="9" t="n">
        <v>1</v>
      </c>
    </row>
    <row r="31">
      <c r="A31" s="4" t="n">
        <v>27</v>
      </c>
      <c r="B31" s="5" t="inlineStr">
        <is>
          <t>Beeru</t>
        </is>
      </c>
      <c r="C31" s="5" t="inlineStr">
        <is>
          <t>Beeru Beras Porang Hitam isi 2 Pouch 1 Kg - Shirataki Konjac Rice</t>
        </is>
      </c>
      <c r="D31" s="6" t="inlineStr">
        <is>
          <t>1734438878376003393</t>
        </is>
      </c>
      <c r="E31" s="4" t="n">
        <v>1000</v>
      </c>
      <c r="F31" s="5" t="inlineStr">
        <is>
          <t>Pouch</t>
        </is>
      </c>
      <c r="G31" s="7" t="n">
        <v>384706</v>
      </c>
      <c r="H31" s="7">
        <f>IF(OR($E31="—",$G31="—"),"—",ROUND($G31/$E31,0))</f>
        <v/>
      </c>
      <c r="I31" s="8" t="n">
        <v>1923528</v>
      </c>
      <c r="J31" s="7" t="n">
        <v>5</v>
      </c>
      <c r="K31" s="5" t="inlineStr">
        <is>
          <t>Lainnya</t>
        </is>
      </c>
      <c r="L31" s="5" t="inlineStr">
        <is>
          <t>—</t>
        </is>
      </c>
      <c r="M31" s="4" t="inlineStr">
        <is>
          <t>—</t>
        </is>
      </c>
    </row>
    <row r="32">
      <c r="A32" s="4" t="n">
        <v>28</v>
      </c>
      <c r="B32" s="5" t="inlineStr">
        <is>
          <t>Beeru</t>
        </is>
      </c>
      <c r="C32" s="5" t="inlineStr">
        <is>
          <t>Beeru Beras Porang Pouch 500 gram - Shirataki Konjac Rice</t>
        </is>
      </c>
      <c r="D32" s="6" t="inlineStr">
        <is>
          <t>1729985229145934657</t>
        </is>
      </c>
      <c r="E32" s="4" t="n">
        <v>500</v>
      </c>
      <c r="F32" s="5" t="inlineStr">
        <is>
          <t>Pouch</t>
        </is>
      </c>
      <c r="G32" s="7" t="n">
        <v>94561</v>
      </c>
      <c r="H32" s="7">
        <f>IF(OR($E32="—",$G32="—"),"—",ROUND($G32/$E32,0))</f>
        <v/>
      </c>
      <c r="I32" s="8" t="n">
        <v>1796652</v>
      </c>
      <c r="J32" s="7" t="n">
        <v>19</v>
      </c>
      <c r="K32" s="5" t="inlineStr">
        <is>
          <t>Lainnya</t>
        </is>
      </c>
      <c r="L32" s="5" t="inlineStr">
        <is>
          <t>—</t>
        </is>
      </c>
      <c r="M32" s="4" t="inlineStr">
        <is>
          <t>—</t>
        </is>
      </c>
    </row>
    <row r="33">
      <c r="A33" s="4" t="n">
        <v>29</v>
      </c>
      <c r="B33" s="5" t="inlineStr">
        <is>
          <t>Beeru</t>
        </is>
      </c>
      <c r="C33" s="5" t="inlineStr">
        <is>
          <t>Beeru Botol Kosong Mungil 1mL</t>
        </is>
      </c>
      <c r="D33" s="6" t="inlineStr">
        <is>
          <t>1729874701778979649</t>
        </is>
      </c>
      <c r="E33" s="4" t="inlineStr">
        <is>
          <t>—</t>
        </is>
      </c>
      <c r="F33" s="5" t="inlineStr">
        <is>
          <t>Tidak tertera</t>
        </is>
      </c>
      <c r="G33" s="7" t="n">
        <v>3330</v>
      </c>
      <c r="H33" s="7">
        <f>IF(OR($E33="—",$G33="—"),"—",ROUND($G33/$E33,0))</f>
        <v/>
      </c>
      <c r="I33" s="8" t="n">
        <v>1435291</v>
      </c>
      <c r="J33" s="7" t="n">
        <v>431</v>
      </c>
      <c r="K33" s="5" t="inlineStr">
        <is>
          <t>Lainnya</t>
        </is>
      </c>
      <c r="L33" s="5" t="inlineStr">
        <is>
          <t>—</t>
        </is>
      </c>
      <c r="M33" s="4" t="inlineStr">
        <is>
          <t>—</t>
        </is>
      </c>
    </row>
    <row r="34">
      <c r="A34" s="4" t="n">
        <v>30</v>
      </c>
      <c r="B34" s="5" t="inlineStr">
        <is>
          <t>Beeru</t>
        </is>
      </c>
      <c r="C34" s="5" t="inlineStr">
        <is>
          <t>Beeru Beras Porang Kardus isi 24 Box - Shirataki Konjac Rice</t>
        </is>
      </c>
      <c r="D34" s="6" t="inlineStr">
        <is>
          <t>1729700043879909185</t>
        </is>
      </c>
      <c r="E34" s="4" t="inlineStr">
        <is>
          <t>—</t>
        </is>
      </c>
      <c r="F34" s="5" t="inlineStr">
        <is>
          <t>Sachet/Box</t>
        </is>
      </c>
      <c r="G34" s="7" t="n">
        <v>1276443</v>
      </c>
      <c r="H34" s="7">
        <f>IF(OR($E34="—",$G34="—"),"—",ROUND($G34/$E34,0))</f>
        <v/>
      </c>
      <c r="I34" s="8" t="n">
        <v>1276443</v>
      </c>
      <c r="J34" s="7" t="n">
        <v>1</v>
      </c>
      <c r="K34" s="5" t="inlineStr">
        <is>
          <t>Lainnya</t>
        </is>
      </c>
      <c r="L34" s="5" t="inlineStr">
        <is>
          <t>—</t>
        </is>
      </c>
      <c r="M34" s="4" t="inlineStr">
        <is>
          <t>—</t>
        </is>
      </c>
    </row>
    <row r="35">
      <c r="A35" s="4" t="n">
        <v>31</v>
      </c>
      <c r="B35" s="5" t="inlineStr">
        <is>
          <t>Beeru</t>
        </is>
      </c>
      <c r="C35" s="5" t="inlineStr">
        <is>
          <t>Beeru Beras Porang Hitam Isi 2 Box - Shirataki Konjac Rice</t>
        </is>
      </c>
      <c r="D35" s="6" t="inlineStr">
        <is>
          <t>1734438778800867137</t>
        </is>
      </c>
      <c r="E35" s="4" t="inlineStr">
        <is>
          <t>—</t>
        </is>
      </c>
      <c r="F35" s="5" t="inlineStr">
        <is>
          <t>Sachet/Box</t>
        </is>
      </c>
      <c r="G35" s="7" t="n">
        <v>112809</v>
      </c>
      <c r="H35" s="7">
        <f>IF(OR($E35="—",$G35="—"),"—",ROUND($G35/$E35,0))</f>
        <v/>
      </c>
      <c r="I35" s="8" t="n">
        <v>1128093</v>
      </c>
      <c r="J35" s="7" t="n">
        <v>10</v>
      </c>
      <c r="K35" s="5" t="inlineStr">
        <is>
          <t>Lainnya</t>
        </is>
      </c>
      <c r="L35" s="5" t="inlineStr">
        <is>
          <t>—</t>
        </is>
      </c>
      <c r="M35" s="4" t="inlineStr">
        <is>
          <t>—</t>
        </is>
      </c>
    </row>
    <row r="36">
      <c r="A36" s="4" t="n">
        <v>32</v>
      </c>
      <c r="B36" s="5" t="inlineStr">
        <is>
          <t>Beeru</t>
        </is>
      </c>
      <c r="C36" s="5" t="inlineStr">
        <is>
          <t>Beeru Ceremonial Matcha Alt E.01 30gr</t>
        </is>
      </c>
      <c r="D36" s="6" t="inlineStr">
        <is>
          <t>1733014159740340033</t>
        </is>
      </c>
      <c r="E36" s="4" t="n">
        <v>30</v>
      </c>
      <c r="F36" s="5" t="inlineStr">
        <is>
          <t>Tidak tertera</t>
        </is>
      </c>
      <c r="G36" s="7" t="n">
        <v>170930</v>
      </c>
      <c r="H36" s="7">
        <f>IF(OR($E36="—",$G36="—"),"—",ROUND($G36/$E36,0))</f>
        <v/>
      </c>
      <c r="I36" s="8" t="n">
        <v>1025581</v>
      </c>
      <c r="J36" s="7" t="n">
        <v>6</v>
      </c>
      <c r="K36" s="5" t="inlineStr">
        <is>
          <t>Matcha</t>
        </is>
      </c>
      <c r="L36" s="5" t="inlineStr">
        <is>
          <t>Ceremonial</t>
        </is>
      </c>
      <c r="M36" s="9" t="n">
        <v>1</v>
      </c>
    </row>
    <row r="37">
      <c r="A37" s="4" t="n">
        <v>33</v>
      </c>
      <c r="B37" s="5" t="inlineStr">
        <is>
          <t>Beeru</t>
        </is>
      </c>
      <c r="C37" s="5" t="inlineStr">
        <is>
          <t>Beeru Beras Porang Merah Isi 5 Box - Shirataki Konjac Rice</t>
        </is>
      </c>
      <c r="D37" s="6" t="inlineStr">
        <is>
          <t>1734486607266481985</t>
        </is>
      </c>
      <c r="E37" s="4" t="inlineStr">
        <is>
          <t>—</t>
        </is>
      </c>
      <c r="F37" s="5" t="inlineStr">
        <is>
          <t>Sachet/Box</t>
        </is>
      </c>
      <c r="G37" s="7" t="n">
        <v>293041</v>
      </c>
      <c r="H37" s="7">
        <f>IF(OR($E37="—",$G37="—"),"—",ROUND($G37/$E37,0))</f>
        <v/>
      </c>
      <c r="I37" s="8" t="n">
        <v>879123</v>
      </c>
      <c r="J37" s="7" t="n">
        <v>3</v>
      </c>
      <c r="K37" s="5" t="inlineStr">
        <is>
          <t>Lainnya</t>
        </is>
      </c>
      <c r="L37" s="5" t="inlineStr">
        <is>
          <t>—</t>
        </is>
      </c>
      <c r="M37" s="4" t="inlineStr">
        <is>
          <t>—</t>
        </is>
      </c>
    </row>
    <row r="38">
      <c r="A38" s="4" t="n">
        <v>34</v>
      </c>
      <c r="B38" s="5" t="inlineStr">
        <is>
          <t>Beeru</t>
        </is>
      </c>
      <c r="C38" s="5" t="inlineStr">
        <is>
          <t>Nasi Merah Instan Praktis</t>
        </is>
      </c>
      <c r="D38" s="6" t="inlineStr">
        <is>
          <t>1736240304070559553</t>
        </is>
      </c>
      <c r="E38" s="4" t="inlineStr">
        <is>
          <t>—</t>
        </is>
      </c>
      <c r="F38" s="5" t="inlineStr">
        <is>
          <t>Tidak tertera</t>
        </is>
      </c>
      <c r="G38" s="7" t="n">
        <v>45327</v>
      </c>
      <c r="H38" s="7">
        <f>IF(OR($E38="—",$G38="—"),"—",ROUND($G38/$E38,0))</f>
        <v/>
      </c>
      <c r="I38" s="8" t="n">
        <v>589248</v>
      </c>
      <c r="J38" s="7" t="n">
        <v>13</v>
      </c>
      <c r="K38" s="5" t="inlineStr">
        <is>
          <t>Lainnya</t>
        </is>
      </c>
      <c r="L38" s="5" t="inlineStr">
        <is>
          <t>—</t>
        </is>
      </c>
      <c r="M38" s="4" t="inlineStr">
        <is>
          <t>—</t>
        </is>
      </c>
    </row>
    <row r="39">
      <c r="A39" s="4" t="n">
        <v>35</v>
      </c>
      <c r="B39" s="5" t="inlineStr">
        <is>
          <t>Beeru</t>
        </is>
      </c>
      <c r="C39" s="5" t="inlineStr">
        <is>
          <t>Beeru Beras Porang Isi 10 Box - Shirataki Konjac Rice</t>
        </is>
      </c>
      <c r="D39" s="6" t="inlineStr">
        <is>
          <t>1729995447512959809</t>
        </is>
      </c>
      <c r="E39" s="4" t="inlineStr">
        <is>
          <t>—</t>
        </is>
      </c>
      <c r="F39" s="5" t="inlineStr">
        <is>
          <t>Sachet/Box</t>
        </is>
      </c>
      <c r="G39" s="7" t="n">
        <v>499745</v>
      </c>
      <c r="H39" s="7">
        <f>IF(OR($E39="—",$G39="—"),"—",ROUND($G39/$E39,0))</f>
        <v/>
      </c>
      <c r="I39" s="8" t="n">
        <v>499745</v>
      </c>
      <c r="J39" s="7" t="n">
        <v>1</v>
      </c>
      <c r="K39" s="5" t="inlineStr">
        <is>
          <t>Lainnya</t>
        </is>
      </c>
      <c r="L39" s="5" t="inlineStr">
        <is>
          <t>—</t>
        </is>
      </c>
      <c r="M39" s="4" t="inlineStr">
        <is>
          <t>—</t>
        </is>
      </c>
    </row>
    <row r="40">
      <c r="A40" s="4" t="n">
        <v>36</v>
      </c>
      <c r="B40" s="5" t="inlineStr">
        <is>
          <t>Beeru</t>
        </is>
      </c>
      <c r="C40" s="5" t="inlineStr">
        <is>
          <t>Beeru Beras Porang Sachet Isi 10 - Shirataki Konjac Rice</t>
        </is>
      </c>
      <c r="D40" s="6" t="inlineStr">
        <is>
          <t>1730001381516151617</t>
        </is>
      </c>
      <c r="E40" s="4" t="inlineStr">
        <is>
          <t>—</t>
        </is>
      </c>
      <c r="F40" s="5" t="inlineStr">
        <is>
          <t>Sachet/Box</t>
        </is>
      </c>
      <c r="G40" s="7" t="n">
        <v>61856</v>
      </c>
      <c r="H40" s="7">
        <f>IF(OR($E40="—",$G40="—"),"—",ROUND($G40/$E40,0))</f>
        <v/>
      </c>
      <c r="I40" s="8" t="n">
        <v>371139</v>
      </c>
      <c r="J40" s="7" t="n">
        <v>6</v>
      </c>
      <c r="K40" s="5" t="inlineStr">
        <is>
          <t>Lainnya</t>
        </is>
      </c>
      <c r="L40" s="5" t="inlineStr">
        <is>
          <t>—</t>
        </is>
      </c>
      <c r="M40" s="4" t="inlineStr">
        <is>
          <t>—</t>
        </is>
      </c>
    </row>
    <row r="41">
      <c r="A41" s="4" t="n">
        <v>37</v>
      </c>
      <c r="B41" s="5" t="inlineStr">
        <is>
          <t>Beeru</t>
        </is>
      </c>
      <c r="C41" s="5" t="inlineStr">
        <is>
          <t>Beeru Beras Porang Sachet Isi 5 - Shirataki Konjac Rice</t>
        </is>
      </c>
      <c r="D41" s="6" t="inlineStr">
        <is>
          <t>1729772870468142913</t>
        </is>
      </c>
      <c r="E41" s="4" t="inlineStr">
        <is>
          <t>—</t>
        </is>
      </c>
      <c r="F41" s="5" t="inlineStr">
        <is>
          <t>Sachet/Box</t>
        </is>
      </c>
      <c r="G41" s="7" t="n">
        <v>16080</v>
      </c>
      <c r="H41" s="7">
        <f>IF(OR($E41="—",$G41="—"),"—",ROUND($G41/$E41,0))</f>
        <v/>
      </c>
      <c r="I41" s="8" t="n">
        <v>369838</v>
      </c>
      <c r="J41" s="7" t="n">
        <v>23</v>
      </c>
      <c r="K41" s="5" t="inlineStr">
        <is>
          <t>Lainnya</t>
        </is>
      </c>
      <c r="L41" s="5" t="inlineStr">
        <is>
          <t>—</t>
        </is>
      </c>
      <c r="M41" s="4" t="inlineStr">
        <is>
          <t>—</t>
        </is>
      </c>
    </row>
    <row r="42">
      <c r="A42" s="4" t="n">
        <v>38</v>
      </c>
      <c r="B42" s="5" t="inlineStr">
        <is>
          <t>Beeru</t>
        </is>
      </c>
      <c r="C42" s="5" t="inlineStr">
        <is>
          <t>Beeru Stevia 15mL dan Beeru Beras Porang Box</t>
        </is>
      </c>
      <c r="D42" s="6" t="inlineStr">
        <is>
          <t>1729996060040727361</t>
        </is>
      </c>
      <c r="E42" s="4" t="inlineStr">
        <is>
          <t>—</t>
        </is>
      </c>
      <c r="F42" s="5" t="inlineStr">
        <is>
          <t>Sachet/Box</t>
        </is>
      </c>
      <c r="G42" s="7" t="n">
        <v>118257</v>
      </c>
      <c r="H42" s="7">
        <f>IF(OR($E42="—",$G42="—"),"—",ROUND($G42/$E42,0))</f>
        <v/>
      </c>
      <c r="I42" s="8" t="n">
        <v>354770</v>
      </c>
      <c r="J42" s="7" t="n">
        <v>3</v>
      </c>
      <c r="K42" s="5" t="inlineStr">
        <is>
          <t>Stevia/Pemanis</t>
        </is>
      </c>
      <c r="L42" s="5" t="inlineStr">
        <is>
          <t>—</t>
        </is>
      </c>
      <c r="M42" s="4" t="inlineStr">
        <is>
          <t>—</t>
        </is>
      </c>
    </row>
    <row r="43">
      <c r="A43" s="4" t="n">
        <v>39</v>
      </c>
      <c r="B43" s="5" t="inlineStr">
        <is>
          <t>Beeru</t>
        </is>
      </c>
      <c r="C43" s="5" t="inlineStr">
        <is>
          <t>Beeru Kaldu Komplit Set Tanpa MSG</t>
        </is>
      </c>
      <c r="D43" s="6" t="inlineStr">
        <is>
          <t>1729890329953602369</t>
        </is>
      </c>
      <c r="E43" s="4" t="inlineStr">
        <is>
          <t>—</t>
        </is>
      </c>
      <c r="F43" s="5" t="inlineStr">
        <is>
          <t>Tidak tertera</t>
        </is>
      </c>
      <c r="G43" s="7" t="n">
        <v>159010</v>
      </c>
      <c r="H43" s="7">
        <f>IF(OR($E43="—",$G43="—"),"—",ROUND($G43/$E43,0))</f>
        <v/>
      </c>
      <c r="I43" s="8" t="n">
        <v>318020</v>
      </c>
      <c r="J43" s="7" t="n">
        <v>2</v>
      </c>
      <c r="K43" s="5" t="inlineStr">
        <is>
          <t>Lainnya</t>
        </is>
      </c>
      <c r="L43" s="5" t="inlineStr">
        <is>
          <t>—</t>
        </is>
      </c>
      <c r="M43" s="4" t="inlineStr">
        <is>
          <t>—</t>
        </is>
      </c>
    </row>
    <row r="44">
      <c r="A44" s="4" t="n">
        <v>40</v>
      </c>
      <c r="B44" s="5" t="inlineStr">
        <is>
          <t>Beeru</t>
        </is>
      </c>
      <c r="C44" s="5" t="inlineStr">
        <is>
          <t>Beeru Kaldu Ayam 70gr Tanpa MSG Tanpa Garam</t>
        </is>
      </c>
      <c r="D44" s="6" t="inlineStr">
        <is>
          <t>1729881558240037697</t>
        </is>
      </c>
      <c r="E44" s="4" t="n">
        <v>70</v>
      </c>
      <c r="F44" s="5" t="inlineStr">
        <is>
          <t>Tidak tertera</t>
        </is>
      </c>
      <c r="G44" s="7" t="n">
        <v>26312</v>
      </c>
      <c r="H44" s="7">
        <f>IF(OR($E44="—",$G44="—"),"—",ROUND($G44/$E44,0))</f>
        <v/>
      </c>
      <c r="I44" s="8" t="n">
        <v>289429</v>
      </c>
      <c r="J44" s="7" t="n">
        <v>11</v>
      </c>
      <c r="K44" s="5" t="inlineStr">
        <is>
          <t>Lainnya</t>
        </is>
      </c>
      <c r="L44" s="5" t="inlineStr">
        <is>
          <t>—</t>
        </is>
      </c>
      <c r="M44" s="4" t="inlineStr">
        <is>
          <t>—</t>
        </is>
      </c>
    </row>
    <row r="45">
      <c r="A45" s="4" t="n">
        <v>41</v>
      </c>
      <c r="B45" s="5" t="inlineStr">
        <is>
          <t>Beeru</t>
        </is>
      </c>
      <c r="C45" s="5" t="inlineStr">
        <is>
          <t>Beeru Stevia 5ml dan Beeru Beras Porang Pouch 500gr</t>
        </is>
      </c>
      <c r="D45" s="6" t="inlineStr">
        <is>
          <t>1729996054794832705</t>
        </is>
      </c>
      <c r="E45" s="4" t="n">
        <v>500</v>
      </c>
      <c r="F45" s="5" t="inlineStr">
        <is>
          <t>Pouch</t>
        </is>
      </c>
      <c r="G45" s="7" t="n">
        <v>143821</v>
      </c>
      <c r="H45" s="7">
        <f>IF(OR($E45="—",$G45="—"),"—",ROUND($G45/$E45,0))</f>
        <v/>
      </c>
      <c r="I45" s="8" t="n">
        <v>287642</v>
      </c>
      <c r="J45" s="7" t="n">
        <v>2</v>
      </c>
      <c r="K45" s="5" t="inlineStr">
        <is>
          <t>Stevia/Pemanis</t>
        </is>
      </c>
      <c r="L45" s="5" t="inlineStr">
        <is>
          <t>—</t>
        </is>
      </c>
      <c r="M45" s="4" t="inlineStr">
        <is>
          <t>—</t>
        </is>
      </c>
    </row>
    <row r="46">
      <c r="A46" s="4" t="n">
        <v>42</v>
      </c>
      <c r="B46" s="5" t="inlineStr">
        <is>
          <t>Beeru</t>
        </is>
      </c>
      <c r="C46" s="5" t="inlineStr">
        <is>
          <t>Beeru Kaldu Jamur 70gr Tanpa MSG Tanpa Garam</t>
        </is>
      </c>
      <c r="D46" s="6" t="inlineStr">
        <is>
          <t>1729881574032444225</t>
        </is>
      </c>
      <c r="E46" s="4" t="n">
        <v>70</v>
      </c>
      <c r="F46" s="5" t="inlineStr">
        <is>
          <t>Tidak tertera</t>
        </is>
      </c>
      <c r="G46" s="7" t="n">
        <v>16494</v>
      </c>
      <c r="H46" s="7">
        <f>IF(OR($E46="—",$G46="—"),"—",ROUND($G46/$E46,0))</f>
        <v/>
      </c>
      <c r="I46" s="8" t="n">
        <v>280403</v>
      </c>
      <c r="J46" s="7" t="n">
        <v>17</v>
      </c>
      <c r="K46" s="5" t="inlineStr">
        <is>
          <t>Lainnya</t>
        </is>
      </c>
      <c r="L46" s="5" t="inlineStr">
        <is>
          <t>—</t>
        </is>
      </c>
      <c r="M46" s="4" t="inlineStr">
        <is>
          <t>—</t>
        </is>
      </c>
    </row>
    <row r="47">
      <c r="A47" s="4" t="n">
        <v>43</v>
      </c>
      <c r="B47" s="5" t="inlineStr">
        <is>
          <t>Beeru</t>
        </is>
      </c>
      <c r="C47" s="5" t="inlineStr">
        <is>
          <t>Beeru Beras Porang Box Mix</t>
        </is>
      </c>
      <c r="D47" s="6" t="inlineStr">
        <is>
          <t>1736423184109766465</t>
        </is>
      </c>
      <c r="E47" s="4" t="inlineStr">
        <is>
          <t>—</t>
        </is>
      </c>
      <c r="F47" s="5" t="inlineStr">
        <is>
          <t>Sachet/Box</t>
        </is>
      </c>
      <c r="G47" s="7" t="n">
        <v>97452</v>
      </c>
      <c r="H47" s="7">
        <f>IF(OR($E47="—",$G47="—"),"—",ROUND($G47/$E47,0))</f>
        <v/>
      </c>
      <c r="I47" s="8" t="n">
        <v>194903</v>
      </c>
      <c r="J47" s="7" t="n">
        <v>2</v>
      </c>
      <c r="K47" s="5" t="inlineStr">
        <is>
          <t>Lainnya</t>
        </is>
      </c>
      <c r="L47" s="5" t="inlineStr">
        <is>
          <t>—</t>
        </is>
      </c>
      <c r="M47" s="4" t="inlineStr">
        <is>
          <t>—</t>
        </is>
      </c>
    </row>
    <row r="48">
      <c r="A48" s="4" t="n">
        <v>44</v>
      </c>
      <c r="B48" s="5" t="inlineStr">
        <is>
          <t>Beeru</t>
        </is>
      </c>
      <c r="C48" s="5" t="inlineStr">
        <is>
          <t>Beeru Bumbu Sachet Nasi Daun Jeruk isi 5pcs</t>
        </is>
      </c>
      <c r="D48" s="6" t="inlineStr">
        <is>
          <t>1729744591966209857</t>
        </is>
      </c>
      <c r="E48" s="4" t="inlineStr">
        <is>
          <t>—</t>
        </is>
      </c>
      <c r="F48" s="5" t="inlineStr">
        <is>
          <t>Sachet/Box</t>
        </is>
      </c>
      <c r="G48" s="7" t="n">
        <v>11406</v>
      </c>
      <c r="H48" s="7">
        <f>IF(OR($E48="—",$G48="—"),"—",ROUND($G48/$E48,0))</f>
        <v/>
      </c>
      <c r="I48" s="8" t="n">
        <v>102655</v>
      </c>
      <c r="J48" s="7" t="n">
        <v>9</v>
      </c>
      <c r="K48" s="5" t="inlineStr">
        <is>
          <t>Lainnya</t>
        </is>
      </c>
      <c r="L48" s="5" t="inlineStr">
        <is>
          <t>—</t>
        </is>
      </c>
      <c r="M48" s="4" t="inlineStr">
        <is>
          <t>—</t>
        </is>
      </c>
    </row>
    <row r="49">
      <c r="A49" s="4" t="n">
        <v>45</v>
      </c>
      <c r="B49" s="5" t="inlineStr">
        <is>
          <t>Beeru</t>
        </is>
      </c>
      <c r="C49" s="5" t="inlineStr">
        <is>
          <t>Beeru Bumbu Sachet Beras Porang Rasa Nasi Daun Jeruk - Non MSG</t>
        </is>
      </c>
      <c r="D49" s="6" t="inlineStr">
        <is>
          <t>1729722360138270529</t>
        </is>
      </c>
      <c r="E49" s="4" t="inlineStr">
        <is>
          <t>—</t>
        </is>
      </c>
      <c r="F49" s="5" t="inlineStr">
        <is>
          <t>Sachet/Box</t>
        </is>
      </c>
      <c r="G49" s="7" t="n">
        <v>3303</v>
      </c>
      <c r="H49" s="7">
        <f>IF(OR($E49="—",$G49="—"),"—",ROUND($G49/$E49,0))</f>
        <v/>
      </c>
      <c r="I49" s="8" t="n">
        <v>82586</v>
      </c>
      <c r="J49" s="7" t="n">
        <v>25</v>
      </c>
      <c r="K49" s="5" t="inlineStr">
        <is>
          <t>Lainnya</t>
        </is>
      </c>
      <c r="L49" s="5" t="inlineStr">
        <is>
          <t>—</t>
        </is>
      </c>
      <c r="M49" s="4" t="inlineStr">
        <is>
          <t>—</t>
        </is>
      </c>
    </row>
    <row r="50">
      <c r="A50" s="4" t="n">
        <v>46</v>
      </c>
      <c r="B50" s="5" t="inlineStr">
        <is>
          <t>Beeru</t>
        </is>
      </c>
      <c r="C50" s="5" t="inlineStr">
        <is>
          <t>Beeru Bumbu Sachet Beras Porang Rasa Nasi Sapi Lada Hitam - Non MSG</t>
        </is>
      </c>
      <c r="D50" s="6" t="inlineStr">
        <is>
          <t>1730254460590851905</t>
        </is>
      </c>
      <c r="E50" s="4" t="inlineStr">
        <is>
          <t>—</t>
        </is>
      </c>
      <c r="F50" s="5" t="inlineStr">
        <is>
          <t>Sachet/Box</t>
        </is>
      </c>
      <c r="G50" s="7" t="n">
        <v>2675</v>
      </c>
      <c r="H50" s="7">
        <f>IF(OR($E50="—",$G50="—"),"—",ROUND($G50/$E50,0))</f>
        <v/>
      </c>
      <c r="I50" s="8" t="n">
        <v>80260</v>
      </c>
      <c r="J50" s="7" t="n">
        <v>30</v>
      </c>
      <c r="K50" s="5" t="inlineStr">
        <is>
          <t>Lainnya</t>
        </is>
      </c>
      <c r="L50" s="5" t="inlineStr">
        <is>
          <t>—</t>
        </is>
      </c>
      <c r="M50" s="4" t="inlineStr">
        <is>
          <t>—</t>
        </is>
      </c>
    </row>
    <row r="51">
      <c r="A51" s="4" t="n">
        <v>47</v>
      </c>
      <c r="B51" s="5" t="inlineStr">
        <is>
          <t>Beeru</t>
        </is>
      </c>
      <c r="C51" s="5" t="inlineStr">
        <is>
          <t>Beeru Sendok Takar Ukur 236mL</t>
        </is>
      </c>
      <c r="D51" s="6" t="inlineStr">
        <is>
          <t>1731453174161966913</t>
        </is>
      </c>
      <c r="E51" s="4" t="inlineStr">
        <is>
          <t>—</t>
        </is>
      </c>
      <c r="F51" s="5" t="inlineStr">
        <is>
          <t>Tidak tertera</t>
        </is>
      </c>
      <c r="G51" s="7" t="n">
        <v>2326</v>
      </c>
      <c r="H51" s="7">
        <f>IF(OR($E51="—",$G51="—"),"—",ROUND($G51/$E51,0))</f>
        <v/>
      </c>
      <c r="I51" s="8" t="n">
        <v>69783</v>
      </c>
      <c r="J51" s="7" t="n">
        <v>30</v>
      </c>
      <c r="K51" s="5" t="inlineStr">
        <is>
          <t>Alat/Aksesori (non-minuman)</t>
        </is>
      </c>
      <c r="L51" s="5" t="inlineStr">
        <is>
          <t>—</t>
        </is>
      </c>
      <c r="M51" s="4" t="inlineStr">
        <is>
          <t>—</t>
        </is>
      </c>
    </row>
    <row r="52">
      <c r="A52" s="4" t="n">
        <v>48</v>
      </c>
      <c r="B52" s="5" t="inlineStr">
        <is>
          <t>Beeru</t>
        </is>
      </c>
      <c r="C52" s="5" t="inlineStr">
        <is>
          <t>Beeru Tas Tote Bag Serba Guna</t>
        </is>
      </c>
      <c r="D52" s="6" t="inlineStr">
        <is>
          <t>1733879905803077441</t>
        </is>
      </c>
      <c r="E52" s="4" t="inlineStr">
        <is>
          <t>—</t>
        </is>
      </c>
      <c r="F52" s="5" t="inlineStr">
        <is>
          <t>Tidak tertera</t>
        </is>
      </c>
      <c r="G52" s="7" t="n">
        <v>28203</v>
      </c>
      <c r="H52" s="7">
        <f>IF(OR($E52="—",$G52="—"),"—",ROUND($G52/$E52,0))</f>
        <v/>
      </c>
      <c r="I52" s="8" t="n">
        <v>56406</v>
      </c>
      <c r="J52" s="7" t="n">
        <v>2</v>
      </c>
      <c r="K52" s="5" t="inlineStr">
        <is>
          <t>Lainnya</t>
        </is>
      </c>
      <c r="L52" s="5" t="inlineStr">
        <is>
          <t>—</t>
        </is>
      </c>
      <c r="M52" s="4" t="inlineStr">
        <is>
          <t>—</t>
        </is>
      </c>
    </row>
    <row r="53">
      <c r="A53" s="4" t="n">
        <v>49</v>
      </c>
      <c r="B53" s="5" t="inlineStr">
        <is>
          <t>Beeru</t>
        </is>
      </c>
      <c r="C53" s="5" t="inlineStr">
        <is>
          <t>Beeru Kaldu Ikan 100gr Tanpa MSG Tanpa Garam</t>
        </is>
      </c>
      <c r="D53" s="6" t="inlineStr">
        <is>
          <t>1729881511026658113</t>
        </is>
      </c>
      <c r="E53" s="4" t="n">
        <v>100</v>
      </c>
      <c r="F53" s="5" t="inlineStr">
        <is>
          <t>Tidak tertera</t>
        </is>
      </c>
      <c r="G53" s="7" t="n">
        <v>25529</v>
      </c>
      <c r="H53" s="7">
        <f>IF(OR($E53="—",$G53="—"),"—",ROUND($G53/$E53,0))</f>
        <v/>
      </c>
      <c r="I53" s="8" t="n">
        <v>51058</v>
      </c>
      <c r="J53" s="7" t="n">
        <v>2</v>
      </c>
      <c r="K53" s="5" t="inlineStr">
        <is>
          <t>Lainnya</t>
        </is>
      </c>
      <c r="L53" s="5" t="inlineStr">
        <is>
          <t>—</t>
        </is>
      </c>
      <c r="M53" s="4" t="inlineStr">
        <is>
          <t>—</t>
        </is>
      </c>
    </row>
    <row r="54">
      <c r="A54" s="4" t="n">
        <v>50</v>
      </c>
      <c r="B54" s="5" t="inlineStr">
        <is>
          <t>Beeru</t>
        </is>
      </c>
      <c r="C54" s="5" t="inlineStr">
        <is>
          <t>Nasi Hitam Instan Praktis</t>
        </is>
      </c>
      <c r="D54" s="6" t="inlineStr">
        <is>
          <t>1736250287609907009</t>
        </is>
      </c>
      <c r="E54" s="4" t="inlineStr">
        <is>
          <t>—</t>
        </is>
      </c>
      <c r="F54" s="5" t="inlineStr">
        <is>
          <t>Tidak tertera</t>
        </is>
      </c>
      <c r="G54" s="7" t="n">
        <v>42789</v>
      </c>
      <c r="H54" s="7">
        <f>IF(OR($E54="—",$G54="—"),"—",ROUND($G54/$E54,0))</f>
        <v/>
      </c>
      <c r="I54" s="8" t="n">
        <v>42789</v>
      </c>
      <c r="J54" s="7" t="n">
        <v>1</v>
      </c>
      <c r="K54" s="5" t="inlineStr">
        <is>
          <t>Lainnya</t>
        </is>
      </c>
      <c r="L54" s="5" t="inlineStr">
        <is>
          <t>—</t>
        </is>
      </c>
      <c r="M54" s="4" t="inlineStr">
        <is>
          <t>—</t>
        </is>
      </c>
    </row>
    <row r="55">
      <c r="A55" s="4" t="n">
        <v>51</v>
      </c>
      <c r="B55" s="5" t="inlineStr">
        <is>
          <t>Beeru</t>
        </is>
      </c>
      <c r="C55" s="5" t="inlineStr">
        <is>
          <t>Beeru Beras Porang Sachet Isi 3 - Shirataki Konjac Rice</t>
        </is>
      </c>
      <c r="D55" s="6" t="inlineStr">
        <is>
          <t>1729772894639261505</t>
        </is>
      </c>
      <c r="E55" s="4" t="inlineStr">
        <is>
          <t>—</t>
        </is>
      </c>
      <c r="F55" s="5" t="inlineStr">
        <is>
          <t>Sachet/Box</t>
        </is>
      </c>
      <c r="G55" s="7" t="n">
        <v>23094</v>
      </c>
      <c r="H55" s="7">
        <f>IF(OR($E55="—",$G55="—"),"—",ROUND($G55/$E55,0))</f>
        <v/>
      </c>
      <c r="I55" s="8" t="n">
        <v>23094</v>
      </c>
      <c r="J55" s="7" t="n">
        <v>1</v>
      </c>
      <c r="K55" s="5" t="inlineStr">
        <is>
          <t>Lainnya</t>
        </is>
      </c>
      <c r="L55" s="5" t="inlineStr">
        <is>
          <t>—</t>
        </is>
      </c>
      <c r="M55" s="4" t="inlineStr">
        <is>
          <t>—</t>
        </is>
      </c>
    </row>
    <row r="56">
      <c r="A56" s="4" t="n">
        <v>52</v>
      </c>
      <c r="B56" s="5" t="inlineStr">
        <is>
          <t>Beeru</t>
        </is>
      </c>
      <c r="C56" s="5" t="inlineStr">
        <is>
          <t>Beeru Bumbu Sachet Beras Porang Rasa Nasi Gulai isi 5pcs</t>
        </is>
      </c>
      <c r="D56" s="6" t="inlineStr">
        <is>
          <t>1730286278668486465</t>
        </is>
      </c>
      <c r="E56" s="4" t="inlineStr">
        <is>
          <t>—</t>
        </is>
      </c>
      <c r="F56" s="5" t="inlineStr">
        <is>
          <t>Sachet/Box</t>
        </is>
      </c>
      <c r="G56" s="7" t="n">
        <v>17628</v>
      </c>
      <c r="H56" s="7">
        <f>IF(OR($E56="—",$G56="—"),"—",ROUND($G56/$E56,0))</f>
        <v/>
      </c>
      <c r="I56" s="8" t="n">
        <v>17628</v>
      </c>
      <c r="J56" s="7" t="n">
        <v>1</v>
      </c>
      <c r="K56" s="5" t="inlineStr">
        <is>
          <t>Lainnya</t>
        </is>
      </c>
      <c r="L56" s="5" t="inlineStr">
        <is>
          <t>—</t>
        </is>
      </c>
      <c r="M56" s="4" t="inlineStr">
        <is>
          <t>—</t>
        </is>
      </c>
    </row>
    <row r="57">
      <c r="A57" s="4" t="n">
        <v>53</v>
      </c>
      <c r="B57" s="5" t="inlineStr">
        <is>
          <t>Bitenza</t>
        </is>
      </c>
      <c r="C57" s="5" t="inlineStr">
        <is>
          <t>Bitenza - 100% Pure Matcha 50gr</t>
        </is>
      </c>
      <c r="D57" s="6" t="inlineStr">
        <is>
          <t>1731922730066740485</t>
        </is>
      </c>
      <c r="E57" s="4" t="n">
        <v>50</v>
      </c>
      <c r="F57" s="5" t="inlineStr">
        <is>
          <t>Tidak tertera</t>
        </is>
      </c>
      <c r="G57" s="7" t="n">
        <v>84063</v>
      </c>
      <c r="H57" s="7">
        <f>IF(OR($E57="—",$G57="—"),"—",ROUND($G57/$E57,0))</f>
        <v/>
      </c>
      <c r="I57" s="8" t="n">
        <v>1022645081</v>
      </c>
      <c r="J57" s="7" t="n">
        <v>12204</v>
      </c>
      <c r="K57" s="5" t="inlineStr">
        <is>
          <t>Matcha</t>
        </is>
      </c>
      <c r="L57" s="5" t="inlineStr">
        <is>
          <t>Grade tidak disebut</t>
        </is>
      </c>
      <c r="M57" s="10" t="n">
        <v>4</v>
      </c>
    </row>
    <row r="58">
      <c r="A58" s="4" t="n">
        <v>54</v>
      </c>
      <c r="B58" s="5" t="inlineStr">
        <is>
          <t>Bitenza</t>
        </is>
      </c>
      <c r="C58" s="5" t="inlineStr">
        <is>
          <t>[2pcs - Pure Matcha Bitenza BUNDLING \[Official Store\]](https://www.kalodata.com/product/detail?id=1734061296383984901&amp;language=id-ID&amp;currency=IDR&amp;region=ID)</t>
        </is>
      </c>
      <c r="D58" s="6" t="inlineStr">
        <is>
          <t>1734061296383984901</t>
        </is>
      </c>
      <c r="E58" s="4" t="inlineStr">
        <is>
          <t>—</t>
        </is>
      </c>
      <c r="F58" s="5" t="inlineStr">
        <is>
          <t>Tidak tertera</t>
        </is>
      </c>
      <c r="G58" s="7" t="n">
        <v>178473</v>
      </c>
      <c r="H58" s="7">
        <f>IF(OR($E58="—",$G58="—"),"—",ROUND($G58/$E58,0))</f>
        <v/>
      </c>
      <c r="I58" s="8" t="n">
        <v>97087135</v>
      </c>
      <c r="J58" s="7" t="n">
        <v>476</v>
      </c>
      <c r="K58" s="5" t="inlineStr">
        <is>
          <t>Matcha</t>
        </is>
      </c>
      <c r="L58" s="5" t="inlineStr">
        <is>
          <t>Grade tidak disebut</t>
        </is>
      </c>
      <c r="M58" s="10" t="n">
        <v>4</v>
      </c>
    </row>
    <row r="59">
      <c r="A59" s="4" t="n">
        <v>55</v>
      </c>
      <c r="B59" s="5" t="inlineStr">
        <is>
          <t>Bitenza</t>
        </is>
      </c>
      <c r="C59" s="5" t="inlineStr">
        <is>
          <t>[3pcs - Pure Matcha Bitenza BUNDLING \[Official Store\]](https://www.kalodata.com/product/detail?id=1734061301418591493&amp;language=id-ID&amp;currency=IDR&amp;region=ID)</t>
        </is>
      </c>
      <c r="D59" s="6" t="inlineStr">
        <is>
          <t>1734061301418591493</t>
        </is>
      </c>
      <c r="E59" s="4" t="inlineStr">
        <is>
          <t>—</t>
        </is>
      </c>
      <c r="F59" s="5" t="inlineStr">
        <is>
          <t>Tidak tertera</t>
        </is>
      </c>
      <c r="G59" s="7" t="n">
        <v>314958</v>
      </c>
      <c r="H59" s="7">
        <f>IF(OR($E59="—",$G59="—"),"—",ROUND($G59/$E59,0))</f>
        <v/>
      </c>
      <c r="I59" s="8" t="n">
        <v>27234585</v>
      </c>
      <c r="J59" s="7" t="n">
        <v>87</v>
      </c>
      <c r="K59" s="5" t="inlineStr">
        <is>
          <t>Matcha</t>
        </is>
      </c>
      <c r="L59" s="5" t="inlineStr">
        <is>
          <t>Grade tidak disebut</t>
        </is>
      </c>
      <c r="M59" s="10" t="n">
        <v>4</v>
      </c>
    </row>
    <row r="60">
      <c r="A60" s="4" t="n">
        <v>56</v>
      </c>
      <c r="B60" s="5" t="inlineStr">
        <is>
          <t>Bitenza</t>
        </is>
      </c>
      <c r="C60" s="5" t="inlineStr">
        <is>
          <t>[\[Official Store\] Bitenza - 100% Pure Matcha 50gr](https://www.kalodata.com/product/detail?id=1736426647049700613&amp;language=id-ID&amp;currency=IDR&amp;region=ID)</t>
        </is>
      </c>
      <c r="D60" s="6" t="inlineStr">
        <is>
          <t>1736426647049700613</t>
        </is>
      </c>
      <c r="E60" s="4" t="n">
        <v>50</v>
      </c>
      <c r="F60" s="5" t="inlineStr">
        <is>
          <t>Tidak tertera</t>
        </is>
      </c>
      <c r="G60" s="7" t="n">
        <v>89662</v>
      </c>
      <c r="H60" s="7">
        <f>IF(OR($E60="—",$G60="—"),"—",ROUND($G60/$E60,0))</f>
        <v/>
      </c>
      <c r="I60" s="8" t="n">
        <v>1498728</v>
      </c>
      <c r="J60" s="7" t="n">
        <v>17</v>
      </c>
      <c r="K60" s="5" t="inlineStr">
        <is>
          <t>Matcha</t>
        </is>
      </c>
      <c r="L60" s="5" t="inlineStr">
        <is>
          <t>Grade tidak disebut</t>
        </is>
      </c>
      <c r="M60" s="10" t="n">
        <v>4</v>
      </c>
    </row>
    <row r="61">
      <c r="A61" s="4" t="n">
        <v>57</v>
      </c>
      <c r="B61" s="5" t="inlineStr">
        <is>
          <t>Homelab</t>
        </is>
      </c>
      <c r="C61" s="5" t="inlineStr">
        <is>
          <t>100% PURE UJI MATCHA Japan - Bubuk Matcha Premium Grade - 1KG</t>
        </is>
      </c>
      <c r="D61" s="6" t="inlineStr">
        <is>
          <t>1730557013401765444</t>
        </is>
      </c>
      <c r="E61" s="4" t="n">
        <v>1000</v>
      </c>
      <c r="F61" s="5" t="inlineStr">
        <is>
          <t>Tidak tertera</t>
        </is>
      </c>
      <c r="G61" s="7" t="n">
        <v>1494879</v>
      </c>
      <c r="H61" s="7">
        <f>IF(OR($E61="—",$G61="—"),"—",ROUND($G61/$E61,0))</f>
        <v/>
      </c>
      <c r="I61" s="8" t="n">
        <v>92682512</v>
      </c>
      <c r="J61" s="7" t="n">
        <v>62</v>
      </c>
      <c r="K61" s="5" t="inlineStr">
        <is>
          <t>Matcha</t>
        </is>
      </c>
      <c r="L61" s="5" t="inlineStr">
        <is>
          <t>Premium</t>
        </is>
      </c>
      <c r="M61" s="12" t="n">
        <v>2</v>
      </c>
    </row>
    <row r="62">
      <c r="A62" s="4" t="n">
        <v>58</v>
      </c>
      <c r="B62" s="5" t="inlineStr">
        <is>
          <t>Homelab</t>
        </is>
      </c>
      <c r="C62" s="5" t="inlineStr">
        <is>
          <t>Homelab Pure Uji Matcha Japan - Bubuk Pure Matcha 200 Gram</t>
        </is>
      </c>
      <c r="D62" s="6" t="inlineStr">
        <is>
          <t>1729667276441553476</t>
        </is>
      </c>
      <c r="E62" s="4" t="n">
        <v>200</v>
      </c>
      <c r="F62" s="5" t="inlineStr">
        <is>
          <t>Tidak tertera</t>
        </is>
      </c>
      <c r="G62" s="7" t="n">
        <v>269363</v>
      </c>
      <c r="H62" s="7">
        <f>IF(OR($E62="—",$G62="—"),"—",ROUND($G62/$E62,0))</f>
        <v/>
      </c>
      <c r="I62" s="8" t="n">
        <v>78654079</v>
      </c>
      <c r="J62" s="7" t="n">
        <v>292</v>
      </c>
      <c r="K62" s="5" t="inlineStr">
        <is>
          <t>Matcha</t>
        </is>
      </c>
      <c r="L62" s="5" t="inlineStr">
        <is>
          <t>Grade tidak disebut</t>
        </is>
      </c>
      <c r="M62" s="10" t="n">
        <v>4</v>
      </c>
    </row>
    <row r="63">
      <c r="A63" s="4" t="n">
        <v>59</v>
      </c>
      <c r="B63" s="5" t="inlineStr">
        <is>
          <t>Homelab</t>
        </is>
      </c>
      <c r="C63" s="5" t="inlineStr">
        <is>
          <t>Homelab Pure Uji Matcha Japan - Bubuk Pure Matcha</t>
        </is>
      </c>
      <c r="D63" s="6" t="inlineStr">
        <is>
          <t>1729615319056288324</t>
        </is>
      </c>
      <c r="E63" s="4" t="inlineStr">
        <is>
          <t>—</t>
        </is>
      </c>
      <c r="F63" s="5" t="inlineStr">
        <is>
          <t>Tidak tertera</t>
        </is>
      </c>
      <c r="G63" s="7" t="n">
        <v>128867</v>
      </c>
      <c r="H63" s="7">
        <f>IF(OR($E63="—",$G63="—"),"—",ROUND($G63/$E63,0))</f>
        <v/>
      </c>
      <c r="I63" s="8" t="n">
        <v>47680737</v>
      </c>
      <c r="J63" s="7" t="n">
        <v>370</v>
      </c>
      <c r="K63" s="5" t="inlineStr">
        <is>
          <t>Matcha</t>
        </is>
      </c>
      <c r="L63" s="5" t="inlineStr">
        <is>
          <t>Grade tidak disebut</t>
        </is>
      </c>
      <c r="M63" s="10" t="n">
        <v>4</v>
      </c>
    </row>
    <row r="64">
      <c r="A64" s="4" t="n">
        <v>60</v>
      </c>
      <c r="B64" s="5" t="inlineStr">
        <is>
          <t>Homelab</t>
        </is>
      </c>
      <c r="C64" s="5" t="inlineStr">
        <is>
          <t>Bubuk Coklat / Chocolate Powder Premium Grade - 1kg</t>
        </is>
      </c>
      <c r="D64" s="6" t="inlineStr">
        <is>
          <t>1730557017317082692</t>
        </is>
      </c>
      <c r="E64" s="4" t="n">
        <v>1000</v>
      </c>
      <c r="F64" s="5" t="inlineStr">
        <is>
          <t>Tidak tertera</t>
        </is>
      </c>
      <c r="G64" s="7" t="n">
        <v>382062</v>
      </c>
      <c r="H64" s="7">
        <f>IF(OR($E64="—",$G64="—"),"—",ROUND($G64/$E64,0))</f>
        <v/>
      </c>
      <c r="I64" s="8" t="n">
        <v>35913803</v>
      </c>
      <c r="J64" s="7" t="n">
        <v>94</v>
      </c>
      <c r="K64" s="5" t="inlineStr">
        <is>
          <t>Chocolate</t>
        </is>
      </c>
      <c r="L64" s="5" t="inlineStr">
        <is>
          <t>—</t>
        </is>
      </c>
      <c r="M64" s="4" t="inlineStr">
        <is>
          <t>—</t>
        </is>
      </c>
    </row>
    <row r="65">
      <c r="A65" s="4" t="n">
        <v>61</v>
      </c>
      <c r="B65" s="5" t="inlineStr">
        <is>
          <t>Homelab</t>
        </is>
      </c>
      <c r="C65" s="5" t="inlineStr">
        <is>
          <t>Homelab Bubuk Minuman Matcha Premium / Greentea Matcha Powder - 200 Gr</t>
        </is>
      </c>
      <c r="D65" s="6" t="inlineStr">
        <is>
          <t>1729382763570955844</t>
        </is>
      </c>
      <c r="E65" s="4" t="n">
        <v>200</v>
      </c>
      <c r="F65" s="5" t="inlineStr">
        <is>
          <t>Tidak tertera</t>
        </is>
      </c>
      <c r="G65" s="7" t="n">
        <v>72883</v>
      </c>
      <c r="H65" s="7">
        <f>IF(OR($E65="—",$G65="—"),"—",ROUND($G65/$E65,0))</f>
        <v/>
      </c>
      <c r="I65" s="8" t="n">
        <v>19678287</v>
      </c>
      <c r="J65" s="7" t="n">
        <v>270</v>
      </c>
      <c r="K65" s="5" t="inlineStr">
        <is>
          <t>Matcha</t>
        </is>
      </c>
      <c r="L65" s="5" t="inlineStr">
        <is>
          <t>Premium</t>
        </is>
      </c>
      <c r="M65" s="12" t="n">
        <v>2</v>
      </c>
    </row>
    <row r="66">
      <c r="A66" s="4" t="n">
        <v>62</v>
      </c>
      <c r="B66" s="5" t="inlineStr">
        <is>
          <t>Homelab</t>
        </is>
      </c>
      <c r="C66" s="5" t="inlineStr">
        <is>
          <t>Homelab Bubuk Minuman Matcha Premium / Greentea Matcha Powder - 1 KG</t>
        </is>
      </c>
      <c r="D66" s="6" t="inlineStr">
        <is>
          <t>1729722665112930884</t>
        </is>
      </c>
      <c r="E66" s="4" t="n">
        <v>1000</v>
      </c>
      <c r="F66" s="5" t="inlineStr">
        <is>
          <t>Tidak tertera</t>
        </is>
      </c>
      <c r="G66" s="7" t="n">
        <v>393003</v>
      </c>
      <c r="H66" s="7">
        <f>IF(OR($E66="—",$G66="—"),"—",ROUND($G66/$E66,0))</f>
        <v/>
      </c>
      <c r="I66" s="8" t="n">
        <v>17685157</v>
      </c>
      <c r="J66" s="7" t="n">
        <v>45</v>
      </c>
      <c r="K66" s="5" t="inlineStr">
        <is>
          <t>Matcha</t>
        </is>
      </c>
      <c r="L66" s="5" t="inlineStr">
        <is>
          <t>Premium</t>
        </is>
      </c>
      <c r="M66" s="12" t="n">
        <v>2</v>
      </c>
    </row>
    <row r="67">
      <c r="A67" s="4" t="n">
        <v>63</v>
      </c>
      <c r="B67" s="5" t="inlineStr">
        <is>
          <t>Homelab</t>
        </is>
      </c>
      <c r="C67" s="5" t="inlineStr">
        <is>
          <t>Homelab 100% Pure Matcha 50 gram - Bubuk Matcha Premium Grade 50 gram</t>
        </is>
      </c>
      <c r="D67" s="6" t="inlineStr">
        <is>
          <t>1732044265518564932</t>
        </is>
      </c>
      <c r="E67" s="4" t="n">
        <v>50</v>
      </c>
      <c r="F67" s="5" t="inlineStr">
        <is>
          <t>Tidak tertera</t>
        </is>
      </c>
      <c r="G67" s="7" t="n">
        <v>68425</v>
      </c>
      <c r="H67" s="7">
        <f>IF(OR($E67="—",$G67="—"),"—",ROUND($G67/$E67,0))</f>
        <v/>
      </c>
      <c r="I67" s="8" t="n">
        <v>15532541</v>
      </c>
      <c r="J67" s="7" t="n">
        <v>227</v>
      </c>
      <c r="K67" s="5" t="inlineStr">
        <is>
          <t>Matcha</t>
        </is>
      </c>
      <c r="L67" s="5" t="inlineStr">
        <is>
          <t>Premium</t>
        </is>
      </c>
      <c r="M67" s="12" t="n">
        <v>2</v>
      </c>
    </row>
    <row r="68">
      <c r="A68" s="4" t="n">
        <v>64</v>
      </c>
      <c r="B68" s="5" t="inlineStr">
        <is>
          <t>Homelab</t>
        </is>
      </c>
      <c r="C68" s="5" t="inlineStr">
        <is>
          <t>Homelab Bubuk Minuman Hojicha Premium / Roasted Green Tea Hojicha Powder - 200G</t>
        </is>
      </c>
      <c r="D68" s="6" t="inlineStr">
        <is>
          <t>1729382759767705156</t>
        </is>
      </c>
      <c r="E68" s="4" t="n">
        <v>200</v>
      </c>
      <c r="F68" s="5" t="inlineStr">
        <is>
          <t>Tidak tertera</t>
        </is>
      </c>
      <c r="G68" s="7" t="n">
        <v>117663</v>
      </c>
      <c r="H68" s="7">
        <f>IF(OR($E68="—",$G68="—"),"—",ROUND($G68/$E68,0))</f>
        <v/>
      </c>
      <c r="I68" s="8" t="n">
        <v>14707824</v>
      </c>
      <c r="J68" s="7" t="n">
        <v>125</v>
      </c>
      <c r="K68" s="5" t="inlineStr">
        <is>
          <t>Hojicha</t>
        </is>
      </c>
      <c r="L68" s="5" t="inlineStr">
        <is>
          <t>—</t>
        </is>
      </c>
      <c r="M68" s="4" t="inlineStr">
        <is>
          <t>—</t>
        </is>
      </c>
    </row>
    <row r="69">
      <c r="A69" s="4" t="n">
        <v>65</v>
      </c>
      <c r="B69" s="5" t="inlineStr">
        <is>
          <t>Homelab</t>
        </is>
      </c>
      <c r="C69" s="5" t="inlineStr">
        <is>
          <t>Homelab Yukata 100%  Pure Ceremonial Grade Matcha Powder - Bubuk Minuman Matcha 100g</t>
        </is>
      </c>
      <c r="D69" s="6" t="inlineStr">
        <is>
          <t>1732273297021830724</t>
        </is>
      </c>
      <c r="E69" s="4" t="n">
        <v>100</v>
      </c>
      <c r="F69" s="5" t="inlineStr">
        <is>
          <t>Tidak tertera</t>
        </is>
      </c>
      <c r="G69" s="7" t="n">
        <v>177998</v>
      </c>
      <c r="H69" s="7">
        <f>IF(OR($E69="—",$G69="—"),"—",ROUND($G69/$E69,0))</f>
        <v/>
      </c>
      <c r="I69" s="8" t="n">
        <v>12637887</v>
      </c>
      <c r="J69" s="7" t="n">
        <v>71</v>
      </c>
      <c r="K69" s="5" t="inlineStr">
        <is>
          <t>Matcha</t>
        </is>
      </c>
      <c r="L69" s="5" t="inlineStr">
        <is>
          <t>Ceremonial</t>
        </is>
      </c>
      <c r="M69" s="9" t="n">
        <v>1</v>
      </c>
    </row>
    <row r="70">
      <c r="A70" s="4" t="n">
        <v>66</v>
      </c>
      <c r="B70" s="5" t="inlineStr">
        <is>
          <t>Homelab</t>
        </is>
      </c>
      <c r="C70" s="5" t="inlineStr">
        <is>
          <t>Kontainer + Saringan Bubuk Matcha - Stainless Steel Container + Mesh</t>
        </is>
      </c>
      <c r="D70" s="6" t="inlineStr">
        <is>
          <t>1730557159209535044</t>
        </is>
      </c>
      <c r="E70" s="4" t="inlineStr">
        <is>
          <t>—</t>
        </is>
      </c>
      <c r="F70" s="5" t="inlineStr">
        <is>
          <t>Canister</t>
        </is>
      </c>
      <c r="G70" s="7" t="n">
        <v>225831</v>
      </c>
      <c r="H70" s="7">
        <f>IF(OR($E70="—",$G70="—"),"—",ROUND($G70/$E70,0))</f>
        <v/>
      </c>
      <c r="I70" s="8" t="n">
        <v>4968276</v>
      </c>
      <c r="J70" s="7" t="n">
        <v>22</v>
      </c>
      <c r="K70" s="5" t="inlineStr">
        <is>
          <t>Alat/Aksesori (non-minuman)</t>
        </is>
      </c>
      <c r="L70" s="5" t="inlineStr">
        <is>
          <t>—</t>
        </is>
      </c>
      <c r="M70" s="4" t="inlineStr">
        <is>
          <t>—</t>
        </is>
      </c>
    </row>
    <row r="71">
      <c r="A71" s="4" t="n">
        <v>67</v>
      </c>
      <c r="B71" s="5" t="inlineStr">
        <is>
          <t>Homelab</t>
        </is>
      </c>
      <c r="C71" s="5" t="inlineStr">
        <is>
          <t>Homelab 98% Dark Chocolate Powder / Bubuk Coklat Asli Premium 50 Gr</t>
        </is>
      </c>
      <c r="D71" s="6" t="inlineStr">
        <is>
          <t>1734462236694906436</t>
        </is>
      </c>
      <c r="E71" s="4" t="n">
        <v>50</v>
      </c>
      <c r="F71" s="5" t="inlineStr">
        <is>
          <t>Tidak tertera</t>
        </is>
      </c>
      <c r="G71" s="7" t="n">
        <v>22640</v>
      </c>
      <c r="H71" s="7">
        <f>IF(OR($E71="—",$G71="—"),"—",ROUND($G71/$E71,0))</f>
        <v/>
      </c>
      <c r="I71" s="8" t="n">
        <v>4844932</v>
      </c>
      <c r="J71" s="7" t="n">
        <v>214</v>
      </c>
      <c r="K71" s="5" t="inlineStr">
        <is>
          <t>Chocolate</t>
        </is>
      </c>
      <c r="L71" s="5" t="inlineStr">
        <is>
          <t>—</t>
        </is>
      </c>
      <c r="M71" s="4" t="inlineStr">
        <is>
          <t>—</t>
        </is>
      </c>
    </row>
    <row r="72">
      <c r="A72" s="4" t="n">
        <v>68</v>
      </c>
      <c r="B72" s="5" t="inlineStr">
        <is>
          <t>Homelab</t>
        </is>
      </c>
      <c r="C72" s="5" t="inlineStr">
        <is>
          <t>100% Pure Hojicha - Bubuk Hojicha Premium Grade</t>
        </is>
      </c>
      <c r="D72" s="6" t="inlineStr">
        <is>
          <t>1729387226683770436</t>
        </is>
      </c>
      <c r="E72" s="4" t="inlineStr">
        <is>
          <t>—</t>
        </is>
      </c>
      <c r="F72" s="5" t="inlineStr">
        <is>
          <t>Tidak tertera</t>
        </is>
      </c>
      <c r="G72" s="7" t="n">
        <v>226667</v>
      </c>
      <c r="H72" s="7">
        <f>IF(OR($E72="—",$G72="—"),"—",ROUND($G72/$E72,0))</f>
        <v/>
      </c>
      <c r="I72" s="8" t="n">
        <v>4760012</v>
      </c>
      <c r="J72" s="7" t="n">
        <v>21</v>
      </c>
      <c r="K72" s="5" t="inlineStr">
        <is>
          <t>Hojicha</t>
        </is>
      </c>
      <c r="L72" s="5" t="inlineStr">
        <is>
          <t>—</t>
        </is>
      </c>
      <c r="M72" s="4" t="inlineStr">
        <is>
          <t>—</t>
        </is>
      </c>
    </row>
    <row r="73">
      <c r="A73" s="4" t="n">
        <v>69</v>
      </c>
      <c r="B73" s="5" t="inlineStr">
        <is>
          <t>Homelab</t>
        </is>
      </c>
      <c r="C73" s="5" t="inlineStr">
        <is>
          <t>Homelab Chasen / Matcha Whisk Golden Bamboo with Charm - Pengaduk Teh Matcha Green Tea</t>
        </is>
      </c>
      <c r="D73" s="6" t="inlineStr">
        <is>
          <t>1730557157057398340</t>
        </is>
      </c>
      <c r="E73" s="4" t="inlineStr">
        <is>
          <t>—</t>
        </is>
      </c>
      <c r="F73" s="5" t="inlineStr">
        <is>
          <t>Tidak tertera</t>
        </is>
      </c>
      <c r="G73" s="7" t="n">
        <v>296397</v>
      </c>
      <c r="H73" s="7">
        <f>IF(OR($E73="—",$G73="—"),"—",ROUND($G73/$E73,0))</f>
        <v/>
      </c>
      <c r="I73" s="8" t="n">
        <v>4445954</v>
      </c>
      <c r="J73" s="7" t="n">
        <v>15</v>
      </c>
      <c r="K73" s="5" t="inlineStr">
        <is>
          <t>Alat/Aksesori (non-minuman)</t>
        </is>
      </c>
      <c r="L73" s="5" t="inlineStr">
        <is>
          <t>—</t>
        </is>
      </c>
      <c r="M73" s="4" t="inlineStr">
        <is>
          <t>—</t>
        </is>
      </c>
    </row>
    <row r="74">
      <c r="A74" s="4" t="n">
        <v>70</v>
      </c>
      <c r="B74" s="5" t="inlineStr">
        <is>
          <t>Homelab</t>
        </is>
      </c>
      <c r="C74" s="5" t="inlineStr">
        <is>
          <t>Homelab Matcha Bowl no.7 \ | Mangkuk Matcha Ceremonial Premium</t>
        </is>
      </c>
      <c r="D74" s="6" t="inlineStr">
        <is>
          <t>1734387526276187716</t>
        </is>
      </c>
      <c r="E74" s="4" t="inlineStr">
        <is>
          <t>—</t>
        </is>
      </c>
      <c r="F74" s="5" t="inlineStr">
        <is>
          <t>Tidak tertera</t>
        </is>
      </c>
      <c r="G74" s="7" t="n">
        <v>209661</v>
      </c>
      <c r="H74" s="7">
        <f>IF(OR($E74="—",$G74="—"),"—",ROUND($G74/$E74,0))</f>
        <v/>
      </c>
      <c r="I74" s="8" t="n">
        <v>4402879</v>
      </c>
      <c r="J74" s="7" t="n">
        <v>21</v>
      </c>
      <c r="K74" s="5" t="inlineStr">
        <is>
          <t>Alat/Aksesori (non-minuman)</t>
        </is>
      </c>
      <c r="L74" s="5" t="inlineStr">
        <is>
          <t>—</t>
        </is>
      </c>
      <c r="M74" s="4" t="inlineStr">
        <is>
          <t>—</t>
        </is>
      </c>
    </row>
    <row r="75">
      <c r="A75" s="4" t="n">
        <v>71</v>
      </c>
      <c r="B75" s="5" t="inlineStr">
        <is>
          <t>Homelab</t>
        </is>
      </c>
      <c r="C75" s="5" t="inlineStr">
        <is>
          <t>Homelab Takumi Matcha Ceremony Set \ | Premium Complete Gift Box (Matcha Bowl, Whisk &amp; Holder, Scoop &amp; Holder, Shiter, Towel / Cloth, Box)</t>
        </is>
      </c>
      <c r="D75" s="6" t="inlineStr">
        <is>
          <t>1734645200203187780</t>
        </is>
      </c>
      <c r="E75" s="4" t="inlineStr">
        <is>
          <t>—</t>
        </is>
      </c>
      <c r="F75" s="5" t="inlineStr">
        <is>
          <t>Sachet/Box</t>
        </is>
      </c>
      <c r="G75" s="7" t="n">
        <v>1327945</v>
      </c>
      <c r="H75" s="7">
        <f>IF(OR($E75="—",$G75="—"),"—",ROUND($G75/$E75,0))</f>
        <v/>
      </c>
      <c r="I75" s="8" t="n">
        <v>3983835</v>
      </c>
      <c r="J75" s="7" t="n">
        <v>3</v>
      </c>
      <c r="K75" s="5" t="inlineStr">
        <is>
          <t>Alat/Aksesori (non-minuman)</t>
        </is>
      </c>
      <c r="L75" s="5" t="inlineStr">
        <is>
          <t>—</t>
        </is>
      </c>
      <c r="M75" s="4" t="inlineStr">
        <is>
          <t>—</t>
        </is>
      </c>
    </row>
    <row r="76">
      <c r="A76" s="4" t="n">
        <v>72</v>
      </c>
      <c r="B76" s="5" t="inlineStr">
        <is>
          <t>Homelab</t>
        </is>
      </c>
      <c r="C76" s="5" t="inlineStr">
        <is>
          <t>Homelab Matcha Bowl no.5 \ | Mangkuk Matcha Ceremonial</t>
        </is>
      </c>
      <c r="D76" s="6" t="inlineStr">
        <is>
          <t>1734387056725558852</t>
        </is>
      </c>
      <c r="E76" s="4" t="inlineStr">
        <is>
          <t>—</t>
        </is>
      </c>
      <c r="F76" s="5" t="inlineStr">
        <is>
          <t>Tidak tertera</t>
        </is>
      </c>
      <c r="G76" s="7" t="n">
        <v>157278</v>
      </c>
      <c r="H76" s="7">
        <f>IF(OR($E76="—",$G76="—"),"—",ROUND($G76/$E76,0))</f>
        <v/>
      </c>
      <c r="I76" s="8" t="n">
        <v>3931940</v>
      </c>
      <c r="J76" s="7" t="n">
        <v>25</v>
      </c>
      <c r="K76" s="5" t="inlineStr">
        <is>
          <t>Alat/Aksesori (non-minuman)</t>
        </is>
      </c>
      <c r="L76" s="5" t="inlineStr">
        <is>
          <t>—</t>
        </is>
      </c>
      <c r="M76" s="4" t="inlineStr">
        <is>
          <t>—</t>
        </is>
      </c>
    </row>
    <row r="77">
      <c r="A77" s="4" t="n">
        <v>73</v>
      </c>
      <c r="B77" s="5" t="inlineStr">
        <is>
          <t>Homelab</t>
        </is>
      </c>
      <c r="C77" s="5" t="inlineStr">
        <is>
          <t>Homelab Washo 100% Organic Pure Ceremonial Grade Matcha Powder - Bubuk</t>
        </is>
      </c>
      <c r="D77" s="6" t="inlineStr">
        <is>
          <t>1730557157934007876</t>
        </is>
      </c>
      <c r="E77" s="4" t="inlineStr">
        <is>
          <t>—</t>
        </is>
      </c>
      <c r="F77" s="5" t="inlineStr">
        <is>
          <t>Tidak tertera</t>
        </is>
      </c>
      <c r="G77" s="7" t="n">
        <v>557565</v>
      </c>
      <c r="H77" s="7">
        <f>IF(OR($E77="—",$G77="—"),"—",ROUND($G77/$E77,0))</f>
        <v/>
      </c>
      <c r="I77" s="8" t="n">
        <v>3902954</v>
      </c>
      <c r="J77" s="7" t="n">
        <v>7</v>
      </c>
      <c r="K77" s="5" t="inlineStr">
        <is>
          <t>Matcha</t>
        </is>
      </c>
      <c r="L77" s="5" t="inlineStr">
        <is>
          <t>Ceremonial</t>
        </is>
      </c>
      <c r="M77" s="9" t="n">
        <v>1</v>
      </c>
    </row>
    <row r="78">
      <c r="A78" s="4" t="n">
        <v>74</v>
      </c>
      <c r="B78" s="5" t="inlineStr">
        <is>
          <t>Homelab</t>
        </is>
      </c>
      <c r="C78" s="5" t="inlineStr">
        <is>
          <t>PROMO Paket 3 Bungkus Premium Powder Matcha / Hojicha / Chocolate @1kg</t>
        </is>
      </c>
      <c r="D78" s="6" t="inlineStr">
        <is>
          <t>1730557019242989124</t>
        </is>
      </c>
      <c r="E78" s="4" t="n">
        <v>1000</v>
      </c>
      <c r="F78" s="5" t="inlineStr">
        <is>
          <t>Tidak tertera</t>
        </is>
      </c>
      <c r="G78" s="7" t="n">
        <v>1210814</v>
      </c>
      <c r="H78" s="7">
        <f>IF(OR($E78="—",$G78="—"),"—",ROUND($G78/$E78,0))</f>
        <v/>
      </c>
      <c r="I78" s="8" t="n">
        <v>3632442</v>
      </c>
      <c r="J78" s="7" t="n">
        <v>3</v>
      </c>
      <c r="K78" s="5" t="inlineStr">
        <is>
          <t>Hojicha</t>
        </is>
      </c>
      <c r="L78" s="5" t="inlineStr">
        <is>
          <t>—</t>
        </is>
      </c>
      <c r="M78" s="4" t="inlineStr">
        <is>
          <t>—</t>
        </is>
      </c>
    </row>
    <row r="79">
      <c r="A79" s="4" t="n">
        <v>75</v>
      </c>
      <c r="B79" s="5" t="inlineStr">
        <is>
          <t>Homelab</t>
        </is>
      </c>
      <c r="C79" s="5" t="inlineStr">
        <is>
          <t>Bubuk / Hojicha Powder Premium Grade - 1kg</t>
        </is>
      </c>
      <c r="D79" s="6" t="inlineStr">
        <is>
          <t>1730557017313543748</t>
        </is>
      </c>
      <c r="E79" s="4" t="n">
        <v>1000</v>
      </c>
      <c r="F79" s="5" t="inlineStr">
        <is>
          <t>Tidak tertera</t>
        </is>
      </c>
      <c r="G79" s="7" t="n">
        <v>632088</v>
      </c>
      <c r="H79" s="7">
        <f>IF(OR($E79="—",$G79="—"),"—",ROUND($G79/$E79,0))</f>
        <v/>
      </c>
      <c r="I79" s="8" t="n">
        <v>3160442</v>
      </c>
      <c r="J79" s="7" t="n">
        <v>5</v>
      </c>
      <c r="K79" s="5" t="inlineStr">
        <is>
          <t>Hojicha</t>
        </is>
      </c>
      <c r="L79" s="5" t="inlineStr">
        <is>
          <t>—</t>
        </is>
      </c>
      <c r="M79" s="4" t="inlineStr">
        <is>
          <t>—</t>
        </is>
      </c>
    </row>
    <row r="80">
      <c r="A80" s="4" t="n">
        <v>76</v>
      </c>
      <c r="B80" s="5" t="inlineStr">
        <is>
          <t>Homelab</t>
        </is>
      </c>
      <c r="C80" s="5" t="inlineStr">
        <is>
          <t>Bubuk Coklat / Powder Chocolate - 200g</t>
        </is>
      </c>
      <c r="D80" s="6" t="inlineStr">
        <is>
          <t>1731183877930780228</t>
        </is>
      </c>
      <c r="E80" s="4" t="n">
        <v>200</v>
      </c>
      <c r="F80" s="5" t="inlineStr">
        <is>
          <t>Tidak tertera</t>
        </is>
      </c>
      <c r="G80" s="7" t="n">
        <v>77490</v>
      </c>
      <c r="H80" s="7">
        <f>IF(OR($E80="—",$G80="—"),"—",ROUND($G80/$E80,0))</f>
        <v/>
      </c>
      <c r="I80" s="8" t="n">
        <v>3099613</v>
      </c>
      <c r="J80" s="7" t="n">
        <v>40</v>
      </c>
      <c r="K80" s="5" t="inlineStr">
        <is>
          <t>Chocolate</t>
        </is>
      </c>
      <c r="L80" s="5" t="inlineStr">
        <is>
          <t>—</t>
        </is>
      </c>
      <c r="M80" s="4" t="inlineStr">
        <is>
          <t>—</t>
        </is>
      </c>
    </row>
    <row r="81">
      <c r="A81" s="4" t="n">
        <v>77</v>
      </c>
      <c r="B81" s="5" t="inlineStr">
        <is>
          <t>Homelab</t>
        </is>
      </c>
      <c r="C81" s="5" t="inlineStr">
        <is>
          <t>1 Kg Homelab Bubuk Minuman Sakura Latte Premium Powder</t>
        </is>
      </c>
      <c r="D81" s="6" t="inlineStr">
        <is>
          <t>1731183884836570692</t>
        </is>
      </c>
      <c r="E81" s="4" t="n">
        <v>1000</v>
      </c>
      <c r="F81" s="5" t="inlineStr">
        <is>
          <t>Tidak tertera</t>
        </is>
      </c>
      <c r="G81" s="7" t="n">
        <v>754211</v>
      </c>
      <c r="H81" s="7">
        <f>IF(OR($E81="—",$G81="—"),"—",ROUND($G81/$E81,0))</f>
        <v/>
      </c>
      <c r="I81" s="8" t="n">
        <v>3016842</v>
      </c>
      <c r="J81" s="7" t="n">
        <v>4</v>
      </c>
      <c r="K81" s="5" t="inlineStr">
        <is>
          <t>Sakura</t>
        </is>
      </c>
      <c r="L81" s="5" t="inlineStr">
        <is>
          <t>—</t>
        </is>
      </c>
      <c r="M81" s="4" t="inlineStr">
        <is>
          <t>—</t>
        </is>
      </c>
    </row>
    <row r="82">
      <c r="A82" s="4" t="n">
        <v>78</v>
      </c>
      <c r="B82" s="5" t="inlineStr">
        <is>
          <t>Homelab</t>
        </is>
      </c>
      <c r="C82" s="5" t="inlineStr">
        <is>
          <t>Homelab Pure Taro - 100G / Talas</t>
        </is>
      </c>
      <c r="D82" s="6" t="inlineStr">
        <is>
          <t>1729662031112735300</t>
        </is>
      </c>
      <c r="E82" s="4" t="n">
        <v>100</v>
      </c>
      <c r="F82" s="5" t="inlineStr">
        <is>
          <t>Tidak tertera</t>
        </is>
      </c>
      <c r="G82" s="7" t="n">
        <v>81301</v>
      </c>
      <c r="H82" s="7">
        <f>IF(OR($E82="—",$G82="—"),"—",ROUND($G82/$E82,0))</f>
        <v/>
      </c>
      <c r="I82" s="8" t="n">
        <v>2845535</v>
      </c>
      <c r="J82" s="7" t="n">
        <v>35</v>
      </c>
      <c r="K82" s="5" t="inlineStr">
        <is>
          <t>Taro</t>
        </is>
      </c>
      <c r="L82" s="5" t="inlineStr">
        <is>
          <t>—</t>
        </is>
      </c>
      <c r="M82" s="4" t="inlineStr">
        <is>
          <t>—</t>
        </is>
      </c>
    </row>
    <row r="83">
      <c r="A83" s="4" t="n">
        <v>79</v>
      </c>
      <c r="B83" s="5" t="inlineStr">
        <is>
          <t>Homelab</t>
        </is>
      </c>
      <c r="C83" s="5" t="inlineStr">
        <is>
          <t>Matcha Bowl - High Quality Textured Glass Chawan with Pouring Spout</t>
        </is>
      </c>
      <c r="D83" s="6" t="inlineStr">
        <is>
          <t>1729668565651524164</t>
        </is>
      </c>
      <c r="E83" s="4" t="inlineStr">
        <is>
          <t>—</t>
        </is>
      </c>
      <c r="F83" s="5" t="inlineStr">
        <is>
          <t>Tidak tertera</t>
        </is>
      </c>
      <c r="G83" s="7" t="n">
        <v>190253</v>
      </c>
      <c r="H83" s="7">
        <f>IF(OR($E83="—",$G83="—"),"—",ROUND($G83/$E83,0))</f>
        <v/>
      </c>
      <c r="I83" s="8" t="n">
        <v>2663537</v>
      </c>
      <c r="J83" s="7" t="n">
        <v>14</v>
      </c>
      <c r="K83" s="5" t="inlineStr">
        <is>
          <t>Alat/Aksesori (non-minuman)</t>
        </is>
      </c>
      <c r="L83" s="5" t="inlineStr">
        <is>
          <t>—</t>
        </is>
      </c>
      <c r="M83" s="4" t="inlineStr">
        <is>
          <t>—</t>
        </is>
      </c>
    </row>
    <row r="84">
      <c r="A84" s="4" t="n">
        <v>80</v>
      </c>
      <c r="B84" s="5" t="inlineStr">
        <is>
          <t>Homelab</t>
        </is>
      </c>
      <c r="C84" s="5" t="inlineStr">
        <is>
          <t>Homelab Takumi Chasen \ | Bamboo Matcha Whisk Handmade Ceremonial Grade (Bukan Suikaen)</t>
        </is>
      </c>
      <c r="D84" s="6" t="inlineStr">
        <is>
          <t>1734645354640344644</t>
        </is>
      </c>
      <c r="E84" s="4" t="inlineStr">
        <is>
          <t>—</t>
        </is>
      </c>
      <c r="F84" s="5" t="inlineStr">
        <is>
          <t>Tidak tertera</t>
        </is>
      </c>
      <c r="G84" s="7" t="n">
        <v>589473</v>
      </c>
      <c r="H84" s="7">
        <f>IF(OR($E84="—",$G84="—"),"—",ROUND($G84/$E84,0))</f>
        <v/>
      </c>
      <c r="I84" s="8" t="n">
        <v>2357894</v>
      </c>
      <c r="J84" s="7" t="n">
        <v>4</v>
      </c>
      <c r="K84" s="5" t="inlineStr">
        <is>
          <t>Alat/Aksesori (non-minuman)</t>
        </is>
      </c>
      <c r="L84" s="5" t="inlineStr">
        <is>
          <t>—</t>
        </is>
      </c>
      <c r="M84" s="4" t="inlineStr">
        <is>
          <t>—</t>
        </is>
      </c>
    </row>
    <row r="85">
      <c r="A85" s="4" t="n">
        <v>81</v>
      </c>
      <c r="B85" s="5" t="inlineStr">
        <is>
          <t>Homelab</t>
        </is>
      </c>
      <c r="C85" s="5" t="inlineStr">
        <is>
          <t>Homelab Matcha Ceremonial Grade 30g Powder - Bubuk Minuman Premium Matcha Ceremonial</t>
        </is>
      </c>
      <c r="D85" s="6" t="inlineStr">
        <is>
          <t>1732273487753414212</t>
        </is>
      </c>
      <c r="E85" s="4" t="n">
        <v>30</v>
      </c>
      <c r="F85" s="5" t="inlineStr">
        <is>
          <t>Tidak tertera</t>
        </is>
      </c>
      <c r="G85" s="7" t="n">
        <v>119576</v>
      </c>
      <c r="H85" s="7">
        <f>IF(OR($E85="—",$G85="—"),"—",ROUND($G85/$E85,0))</f>
        <v/>
      </c>
      <c r="I85" s="8" t="n">
        <v>2271945</v>
      </c>
      <c r="J85" s="7" t="n">
        <v>19</v>
      </c>
      <c r="K85" s="5" t="inlineStr">
        <is>
          <t>Matcha</t>
        </is>
      </c>
      <c r="L85" s="5" t="inlineStr">
        <is>
          <t>Ceremonial</t>
        </is>
      </c>
      <c r="M85" s="9" t="n">
        <v>1</v>
      </c>
    </row>
    <row r="86">
      <c r="A86" s="4" t="n">
        <v>82</v>
      </c>
      <c r="B86" s="5" t="inlineStr">
        <is>
          <t>Homelab</t>
        </is>
      </c>
      <c r="C86" s="5" t="inlineStr">
        <is>
          <t>Paket Bird's Nest / Sarang Burung Walet 10 Botol - 100% Asli</t>
        </is>
      </c>
      <c r="D86" s="6" t="inlineStr">
        <is>
          <t>1730570251644470852</t>
        </is>
      </c>
      <c r="E86" s="4" t="inlineStr">
        <is>
          <t>—</t>
        </is>
      </c>
      <c r="F86" s="5" t="inlineStr">
        <is>
          <t>Tidak tertera</t>
        </is>
      </c>
      <c r="G86" s="7" t="n">
        <v>1056096</v>
      </c>
      <c r="H86" s="7">
        <f>IF(OR($E86="—",$G86="—"),"—",ROUND($G86/$E86,0))</f>
        <v/>
      </c>
      <c r="I86" s="8" t="n">
        <v>2112191</v>
      </c>
      <c r="J86" s="7" t="n">
        <v>2</v>
      </c>
      <c r="K86" s="5" t="inlineStr">
        <is>
          <t>Alat/Aksesori (non-minuman)</t>
        </is>
      </c>
      <c r="L86" s="5" t="inlineStr">
        <is>
          <t>—</t>
        </is>
      </c>
      <c r="M86" s="4" t="inlineStr">
        <is>
          <t>—</t>
        </is>
      </c>
    </row>
    <row r="87">
      <c r="A87" s="4" t="n">
        <v>83</v>
      </c>
      <c r="B87" s="5" t="inlineStr">
        <is>
          <t>Homelab</t>
        </is>
      </c>
      <c r="C87" s="5" t="inlineStr">
        <is>
          <t>Homelab Electric Matcha Whisk Pro Set \ | Rechargeable 2-in-1 Frother</t>
        </is>
      </c>
      <c r="D87" s="6" t="inlineStr">
        <is>
          <t>1734452862633477700</t>
        </is>
      </c>
      <c r="E87" s="4" t="inlineStr">
        <is>
          <t>—</t>
        </is>
      </c>
      <c r="F87" s="5" t="inlineStr">
        <is>
          <t>Tidak tertera</t>
        </is>
      </c>
      <c r="G87" s="7" t="n">
        <v>867566</v>
      </c>
      <c r="H87" s="7">
        <f>IF(OR($E87="—",$G87="—"),"—",ROUND($G87/$E87,0))</f>
        <v/>
      </c>
      <c r="I87" s="8" t="n">
        <v>1735131</v>
      </c>
      <c r="J87" s="7" t="n">
        <v>2</v>
      </c>
      <c r="K87" s="5" t="inlineStr">
        <is>
          <t>Alat/Aksesori (non-minuman)</t>
        </is>
      </c>
      <c r="L87" s="5" t="inlineStr">
        <is>
          <t>—</t>
        </is>
      </c>
      <c r="M87" s="4" t="inlineStr">
        <is>
          <t>—</t>
        </is>
      </c>
    </row>
    <row r="88">
      <c r="A88" s="4" t="n">
        <v>84</v>
      </c>
      <c r="B88" s="5" t="inlineStr">
        <is>
          <t>Homelab</t>
        </is>
      </c>
      <c r="C88" s="5" t="inlineStr">
        <is>
          <t>Bubuk Minuman STRAWBERRY LATTE - Premium Drink Powder 200g</t>
        </is>
      </c>
      <c r="D88" s="6" t="inlineStr">
        <is>
          <t>1729507691707140676</t>
        </is>
      </c>
      <c r="E88" s="4" t="n">
        <v>200</v>
      </c>
      <c r="F88" s="5" t="inlineStr">
        <is>
          <t>Tidak tertera</t>
        </is>
      </c>
      <c r="G88" s="7" t="n">
        <v>106662</v>
      </c>
      <c r="H88" s="7">
        <f>IF(OR($E88="—",$G88="—"),"—",ROUND($G88/$E88,0))</f>
        <v/>
      </c>
      <c r="I88" s="8" t="n">
        <v>1706590</v>
      </c>
      <c r="J88" s="7" t="n">
        <v>16</v>
      </c>
      <c r="K88" s="5" t="inlineStr">
        <is>
          <t>Strawberry</t>
        </is>
      </c>
      <c r="L88" s="5" t="inlineStr">
        <is>
          <t>—</t>
        </is>
      </c>
      <c r="M88" s="4" t="inlineStr">
        <is>
          <t>—</t>
        </is>
      </c>
    </row>
    <row r="89">
      <c r="A89" s="4" t="n">
        <v>85</v>
      </c>
      <c r="B89" s="5" t="inlineStr">
        <is>
          <t>Homelab</t>
        </is>
      </c>
      <c r="C89" s="5" t="inlineStr">
        <is>
          <t>Homelab Coconut Creamer Organik - Bubuk Krimer Dari Kelapa 700g (Lactose Free)</t>
        </is>
      </c>
      <c r="D89" s="6" t="inlineStr">
        <is>
          <t>1730569168777479748</t>
        </is>
      </c>
      <c r="E89" s="4" t="n">
        <v>700</v>
      </c>
      <c r="F89" s="5" t="inlineStr">
        <is>
          <t>Tidak tertera</t>
        </is>
      </c>
      <c r="G89" s="7" t="n">
        <v>66437</v>
      </c>
      <c r="H89" s="7">
        <f>IF(OR($E89="—",$G89="—"),"—",ROUND($G89/$E89,0))</f>
        <v/>
      </c>
      <c r="I89" s="8" t="n">
        <v>1660936</v>
      </c>
      <c r="J89" s="7" t="n">
        <v>25</v>
      </c>
      <c r="K89" s="5" t="inlineStr">
        <is>
          <t>Creamer</t>
        </is>
      </c>
      <c r="L89" s="5" t="inlineStr">
        <is>
          <t>—</t>
        </is>
      </c>
      <c r="M89" s="4" t="inlineStr">
        <is>
          <t>—</t>
        </is>
      </c>
    </row>
    <row r="90">
      <c r="A90" s="4" t="n">
        <v>86</v>
      </c>
      <c r="B90" s="5" t="inlineStr">
        <is>
          <t>Homelab</t>
        </is>
      </c>
      <c r="C90" s="5" t="inlineStr">
        <is>
          <t>Bubuk Minuman CHARCOAL LATTE - Premium Drink Powder 200g</t>
        </is>
      </c>
      <c r="D90" s="6" t="inlineStr">
        <is>
          <t>1729507687821773380</t>
        </is>
      </c>
      <c r="E90" s="4" t="n">
        <v>200</v>
      </c>
      <c r="F90" s="5" t="inlineStr">
        <is>
          <t>Tidak tertera</t>
        </is>
      </c>
      <c r="G90" s="7" t="n">
        <v>85664</v>
      </c>
      <c r="H90" s="7">
        <f>IF(OR($E90="—",$G90="—"),"—",ROUND($G90/$E90,0))</f>
        <v/>
      </c>
      <c r="I90" s="8" t="n">
        <v>1370625</v>
      </c>
      <c r="J90" s="7" t="n">
        <v>16</v>
      </c>
      <c r="K90" s="5" t="inlineStr">
        <is>
          <t>Charcoal</t>
        </is>
      </c>
      <c r="L90" s="5" t="inlineStr">
        <is>
          <t>—</t>
        </is>
      </c>
      <c r="M90" s="4" t="inlineStr">
        <is>
          <t>—</t>
        </is>
      </c>
    </row>
    <row r="91">
      <c r="A91" s="4" t="n">
        <v>87</v>
      </c>
      <c r="B91" s="5" t="inlineStr">
        <is>
          <t>Homelab</t>
        </is>
      </c>
      <c r="C91" s="5" t="inlineStr">
        <is>
          <t>Chasen / Matcha Whisk Plastic - Homelab Pengaduk Matcha Plastik</t>
        </is>
      </c>
      <c r="D91" s="6" t="inlineStr">
        <is>
          <t>1730557158570362436</t>
        </is>
      </c>
      <c r="E91" s="4" t="inlineStr">
        <is>
          <t>—</t>
        </is>
      </c>
      <c r="F91" s="5" t="inlineStr">
        <is>
          <t>Tidak tertera</t>
        </is>
      </c>
      <c r="G91" s="7" t="n">
        <v>213258</v>
      </c>
      <c r="H91" s="7">
        <f>IF(OR($E91="—",$G91="—"),"—",ROUND($G91/$E91,0))</f>
        <v/>
      </c>
      <c r="I91" s="8" t="n">
        <v>1279550</v>
      </c>
      <c r="J91" s="7" t="n">
        <v>6</v>
      </c>
      <c r="K91" s="5" t="inlineStr">
        <is>
          <t>Alat/Aksesori (non-minuman)</t>
        </is>
      </c>
      <c r="L91" s="5" t="inlineStr">
        <is>
          <t>—</t>
        </is>
      </c>
      <c r="M91" s="4" t="inlineStr">
        <is>
          <t>—</t>
        </is>
      </c>
    </row>
    <row r="92">
      <c r="A92" s="4" t="n">
        <v>88</v>
      </c>
      <c r="B92" s="5" t="inlineStr">
        <is>
          <t>Homelab</t>
        </is>
      </c>
      <c r="C92" s="5" t="inlineStr">
        <is>
          <t>Homelab Matcha Bamboo Spoon / Sendok Takar Matcha Bambu</t>
        </is>
      </c>
      <c r="D92" s="6" t="inlineStr">
        <is>
          <t>1730557156952475204</t>
        </is>
      </c>
      <c r="E92" s="4" t="inlineStr">
        <is>
          <t>—</t>
        </is>
      </c>
      <c r="F92" s="5" t="inlineStr">
        <is>
          <t>Tidak tertera</t>
        </is>
      </c>
      <c r="G92" s="7" t="n">
        <v>146177</v>
      </c>
      <c r="H92" s="7">
        <f>IF(OR($E92="—",$G92="—"),"—",ROUND($G92/$E92,0))</f>
        <v/>
      </c>
      <c r="I92" s="8" t="n">
        <v>1169412</v>
      </c>
      <c r="J92" s="7" t="n">
        <v>8</v>
      </c>
      <c r="K92" s="5" t="inlineStr">
        <is>
          <t>Alat/Aksesori (non-minuman)</t>
        </is>
      </c>
      <c r="L92" s="5" t="inlineStr">
        <is>
          <t>—</t>
        </is>
      </c>
      <c r="M92" s="4" t="inlineStr">
        <is>
          <t>—</t>
        </is>
      </c>
    </row>
    <row r="93">
      <c r="A93" s="4" t="n">
        <v>89</v>
      </c>
      <c r="B93" s="5" t="inlineStr">
        <is>
          <t>Homelab</t>
        </is>
      </c>
      <c r="C93" s="5" t="inlineStr">
        <is>
          <t>Homelab Pure Extract Sakura - Bubuk Sakura Asli / Murni / Ekstrak 80g</t>
        </is>
      </c>
      <c r="D93" s="6" t="inlineStr">
        <is>
          <t>1729667839240669764</t>
        </is>
      </c>
      <c r="E93" s="4" t="n">
        <v>80</v>
      </c>
      <c r="F93" s="5" t="inlineStr">
        <is>
          <t>Tidak tertera</t>
        </is>
      </c>
      <c r="G93" s="7" t="n">
        <v>162763</v>
      </c>
      <c r="H93" s="7">
        <f>IF(OR($E93="—",$G93="—"),"—",ROUND($G93/$E93,0))</f>
        <v/>
      </c>
      <c r="I93" s="8" t="n">
        <v>1139343</v>
      </c>
      <c r="J93" s="7" t="n">
        <v>7</v>
      </c>
      <c r="K93" s="5" t="inlineStr">
        <is>
          <t>Sakura</t>
        </is>
      </c>
      <c r="L93" s="5" t="inlineStr">
        <is>
          <t>—</t>
        </is>
      </c>
      <c r="M93" s="4" t="inlineStr">
        <is>
          <t>—</t>
        </is>
      </c>
    </row>
    <row r="94">
      <c r="A94" s="4" t="n">
        <v>90</v>
      </c>
      <c r="B94" s="5" t="inlineStr">
        <is>
          <t>Homelab</t>
        </is>
      </c>
      <c r="C94" s="5" t="inlineStr">
        <is>
          <t>Bubuk Minuman NANAS - PINEAPPLE LATTE - Premium Drink Powder 200g</t>
        </is>
      </c>
      <c r="D94" s="6" t="inlineStr">
        <is>
          <t>1729507688781941316</t>
        </is>
      </c>
      <c r="E94" s="4" t="n">
        <v>200</v>
      </c>
      <c r="F94" s="5" t="inlineStr">
        <is>
          <t>Tidak tertera</t>
        </is>
      </c>
      <c r="G94" s="7" t="n">
        <v>79094</v>
      </c>
      <c r="H94" s="7">
        <f>IF(OR($E94="—",$G94="—"),"—",ROUND($G94/$E94,0))</f>
        <v/>
      </c>
      <c r="I94" s="8" t="n">
        <v>1107317</v>
      </c>
      <c r="J94" s="7" t="n">
        <v>14</v>
      </c>
      <c r="K94" s="5" t="inlineStr">
        <is>
          <t>Pineapple</t>
        </is>
      </c>
      <c r="L94" s="5" t="inlineStr">
        <is>
          <t>—</t>
        </is>
      </c>
      <c r="M94" s="4" t="inlineStr">
        <is>
          <t>—</t>
        </is>
      </c>
    </row>
    <row r="95">
      <c r="A95" s="4" t="n">
        <v>91</v>
      </c>
      <c r="B95" s="5" t="inlineStr">
        <is>
          <t>Homelab</t>
        </is>
      </c>
      <c r="C95" s="5" t="inlineStr">
        <is>
          <t>Pure Uji Matcha &amp; Pure Hojicha 100g - Paket Bundle</t>
        </is>
      </c>
      <c r="D95" s="6" t="inlineStr">
        <is>
          <t>1730557019233945156</t>
        </is>
      </c>
      <c r="E95" s="4" t="n">
        <v>100</v>
      </c>
      <c r="F95" s="5" t="inlineStr">
        <is>
          <t>Tidak tertera</t>
        </is>
      </c>
      <c r="G95" s="7" t="n">
        <v>522202</v>
      </c>
      <c r="H95" s="7">
        <f>IF(OR($E95="—",$G95="—"),"—",ROUND($G95/$E95,0))</f>
        <v/>
      </c>
      <c r="I95" s="8" t="n">
        <v>1044404</v>
      </c>
      <c r="J95" s="7" t="n">
        <v>2</v>
      </c>
      <c r="K95" s="5" t="inlineStr">
        <is>
          <t>Hojicha</t>
        </is>
      </c>
      <c r="L95" s="5" t="inlineStr">
        <is>
          <t>—</t>
        </is>
      </c>
      <c r="M95" s="4" t="inlineStr">
        <is>
          <t>—</t>
        </is>
      </c>
    </row>
    <row r="96">
      <c r="A96" s="4" t="n">
        <v>92</v>
      </c>
      <c r="B96" s="5" t="inlineStr">
        <is>
          <t>Homelab</t>
        </is>
      </c>
      <c r="C96" s="5" t="inlineStr">
        <is>
          <t>Homelab Pure Taro / Talas 50 Gram</t>
        </is>
      </c>
      <c r="D96" s="6" t="inlineStr">
        <is>
          <t>1729667859958303300</t>
        </is>
      </c>
      <c r="E96" s="4" t="n">
        <v>50</v>
      </c>
      <c r="F96" s="5" t="inlineStr">
        <is>
          <t>Tidak tertera</t>
        </is>
      </c>
      <c r="G96" s="7" t="n">
        <v>19049</v>
      </c>
      <c r="H96" s="7">
        <f>IF(OR($E96="—",$G96="—"),"—",ROUND($G96/$E96,0))</f>
        <v/>
      </c>
      <c r="I96" s="8" t="n">
        <v>933390</v>
      </c>
      <c r="J96" s="7" t="n">
        <v>49</v>
      </c>
      <c r="K96" s="5" t="inlineStr">
        <is>
          <t>Taro</t>
        </is>
      </c>
      <c r="L96" s="5" t="inlineStr">
        <is>
          <t>—</t>
        </is>
      </c>
      <c r="M96" s="4" t="inlineStr">
        <is>
          <t>—</t>
        </is>
      </c>
    </row>
    <row r="97">
      <c r="A97" s="4" t="n">
        <v>93</v>
      </c>
      <c r="B97" s="5" t="inlineStr">
        <is>
          <t>Homelab</t>
        </is>
      </c>
      <c r="C97" s="5" t="inlineStr">
        <is>
          <t>Homelab Bubuk minuman EARL GREY - Drink Powder 200g</t>
        </is>
      </c>
      <c r="D97" s="6" t="inlineStr">
        <is>
          <t>1729702029461523012</t>
        </is>
      </c>
      <c r="E97" s="4" t="n">
        <v>200</v>
      </c>
      <c r="F97" s="5" t="inlineStr">
        <is>
          <t>Tidak tertera</t>
        </is>
      </c>
      <c r="G97" s="7" t="n">
        <v>89843</v>
      </c>
      <c r="H97" s="7">
        <f>IF(OR($E97="—",$G97="—"),"—",ROUND($G97/$E97,0))</f>
        <v/>
      </c>
      <c r="I97" s="8" t="n">
        <v>898426</v>
      </c>
      <c r="J97" s="7" t="n">
        <v>10</v>
      </c>
      <c r="K97" s="5" t="inlineStr">
        <is>
          <t>Earl Grey</t>
        </is>
      </c>
      <c r="L97" s="5" t="inlineStr">
        <is>
          <t>—</t>
        </is>
      </c>
      <c r="M97" s="4" t="inlineStr">
        <is>
          <t>—</t>
        </is>
      </c>
    </row>
    <row r="98">
      <c r="A98" s="4" t="n">
        <v>94</v>
      </c>
      <c r="B98" s="5" t="inlineStr">
        <is>
          <t>Homelab</t>
        </is>
      </c>
      <c r="C98" s="5" t="inlineStr">
        <is>
          <t>Homelab Matcha Sifter / Stainer / Saringan / Ayakan Bubuk Matcha</t>
        </is>
      </c>
      <c r="D98" s="6" t="inlineStr">
        <is>
          <t>1730557157946918468</t>
        </is>
      </c>
      <c r="E98" s="4" t="inlineStr">
        <is>
          <t>—</t>
        </is>
      </c>
      <c r="F98" s="5" t="inlineStr">
        <is>
          <t>Tidak tertera</t>
        </is>
      </c>
      <c r="G98" s="7" t="n">
        <v>86912</v>
      </c>
      <c r="H98" s="7">
        <f>IF(OR($E98="—",$G98="—"),"—",ROUND($G98/$E98,0))</f>
        <v/>
      </c>
      <c r="I98" s="8" t="n">
        <v>869116</v>
      </c>
      <c r="J98" s="7" t="n">
        <v>10</v>
      </c>
      <c r="K98" s="5" t="inlineStr">
        <is>
          <t>Alat/Aksesori (non-minuman)</t>
        </is>
      </c>
      <c r="L98" s="5" t="inlineStr">
        <is>
          <t>—</t>
        </is>
      </c>
      <c r="M98" s="4" t="inlineStr">
        <is>
          <t>—</t>
        </is>
      </c>
    </row>
    <row r="99">
      <c r="A99" s="4" t="n">
        <v>95</v>
      </c>
      <c r="B99" s="5" t="inlineStr">
        <is>
          <t>Homelab</t>
        </is>
      </c>
      <c r="C99" s="5" t="inlineStr">
        <is>
          <t>Homelab Dairy Creamer Premium- Krimer Susu Premium 700g</t>
        </is>
      </c>
      <c r="D99" s="6" t="inlineStr">
        <is>
          <t>1730569169475110468</t>
        </is>
      </c>
      <c r="E99" s="4" t="n">
        <v>700</v>
      </c>
      <c r="F99" s="5" t="inlineStr">
        <is>
          <t>Tidak tertera</t>
        </is>
      </c>
      <c r="G99" s="7" t="n">
        <v>54201</v>
      </c>
      <c r="H99" s="7">
        <f>IF(OR($E99="—",$G99="—"),"—",ROUND($G99/$E99,0))</f>
        <v/>
      </c>
      <c r="I99" s="8" t="n">
        <v>867218</v>
      </c>
      <c r="J99" s="7" t="n">
        <v>16</v>
      </c>
      <c r="K99" s="5" t="inlineStr">
        <is>
          <t>Creamer</t>
        </is>
      </c>
      <c r="L99" s="5" t="inlineStr">
        <is>
          <t>—</t>
        </is>
      </c>
      <c r="M99" s="4" t="inlineStr">
        <is>
          <t>—</t>
        </is>
      </c>
    </row>
    <row r="100">
      <c r="A100" s="4" t="n">
        <v>96</v>
      </c>
      <c r="B100" s="5" t="inlineStr">
        <is>
          <t>Homelab</t>
        </is>
      </c>
      <c r="C100" s="5" t="inlineStr">
        <is>
          <t>100% PURE UJI MATCHA Japan - Bubuk Matcha Premium Grade - 200g</t>
        </is>
      </c>
      <c r="D100" s="6" t="inlineStr">
        <is>
          <t>1731183894920136260</t>
        </is>
      </c>
      <c r="E100" s="4" t="n">
        <v>200</v>
      </c>
      <c r="F100" s="5" t="inlineStr">
        <is>
          <t>Tidak tertera</t>
        </is>
      </c>
      <c r="G100" s="7" t="n">
        <v>261914</v>
      </c>
      <c r="H100" s="7">
        <f>IF(OR($E100="—",$G100="—"),"—",ROUND($G100/$E100,0))</f>
        <v/>
      </c>
      <c r="I100" s="8" t="n">
        <v>785741</v>
      </c>
      <c r="J100" s="7" t="n">
        <v>3</v>
      </c>
      <c r="K100" s="5" t="inlineStr">
        <is>
          <t>Matcha</t>
        </is>
      </c>
      <c r="L100" s="5" t="inlineStr">
        <is>
          <t>Premium</t>
        </is>
      </c>
      <c r="M100" s="12" t="n">
        <v>2</v>
      </c>
    </row>
    <row r="101">
      <c r="A101" s="4" t="n">
        <v>97</v>
      </c>
      <c r="B101" s="5" t="inlineStr">
        <is>
          <t>Homelab</t>
        </is>
      </c>
      <c r="C101" s="5" t="inlineStr">
        <is>
          <t>Homelab Bubuk Minuman Taro Latte Premium Powder 200G</t>
        </is>
      </c>
      <c r="D101" s="6" t="inlineStr">
        <is>
          <t>1729593399457450564</t>
        </is>
      </c>
      <c r="E101" s="4" t="n">
        <v>200</v>
      </c>
      <c r="F101" s="5" t="inlineStr">
        <is>
          <t>Tidak tertera</t>
        </is>
      </c>
      <c r="G101" s="7" t="n">
        <v>63284</v>
      </c>
      <c r="H101" s="7">
        <f>IF(OR($E101="—",$G101="—"),"—",ROUND($G101/$E101,0))</f>
        <v/>
      </c>
      <c r="I101" s="8" t="n">
        <v>759406</v>
      </c>
      <c r="J101" s="7" t="n">
        <v>12</v>
      </c>
      <c r="K101" s="5" t="inlineStr">
        <is>
          <t>Taro</t>
        </is>
      </c>
      <c r="L101" s="5" t="inlineStr">
        <is>
          <t>—</t>
        </is>
      </c>
      <c r="M101" s="4" t="inlineStr">
        <is>
          <t>—</t>
        </is>
      </c>
    </row>
    <row r="102">
      <c r="A102" s="4" t="n">
        <v>98</v>
      </c>
      <c r="B102" s="5" t="inlineStr">
        <is>
          <t>Homelab</t>
        </is>
      </c>
      <c r="C102" s="5" t="inlineStr">
        <is>
          <t>Homelab Parsel Ramadan / Hampers Lebaran - 4 Toples Bubuk Minuman</t>
        </is>
      </c>
      <c r="D102" s="6" t="inlineStr">
        <is>
          <t>1734645886011147844</t>
        </is>
      </c>
      <c r="E102" s="4" t="inlineStr">
        <is>
          <t>—</t>
        </is>
      </c>
      <c r="F102" s="5" t="inlineStr">
        <is>
          <t>Jar</t>
        </is>
      </c>
      <c r="G102" s="7" t="n">
        <v>748167</v>
      </c>
      <c r="H102" s="7">
        <f>IF(OR($E102="—",$G102="—"),"—",ROUND($G102/$E102,0))</f>
        <v/>
      </c>
      <c r="I102" s="8" t="n">
        <v>748167</v>
      </c>
      <c r="J102" s="7" t="n">
        <v>1</v>
      </c>
      <c r="K102" s="5" t="inlineStr">
        <is>
          <t>Lainnya</t>
        </is>
      </c>
      <c r="L102" s="5" t="inlineStr">
        <is>
          <t>—</t>
        </is>
      </c>
      <c r="M102" s="4" t="inlineStr">
        <is>
          <t>—</t>
        </is>
      </c>
    </row>
    <row r="103">
      <c r="A103" s="4" t="n">
        <v>99</v>
      </c>
      <c r="B103" s="5" t="inlineStr">
        <is>
          <t>Homelab</t>
        </is>
      </c>
      <c r="C103" s="5" t="inlineStr">
        <is>
          <t>Homelab Matcha Ceramic Canister / Wadah Bubuk Matcha Keramik</t>
        </is>
      </c>
      <c r="D103" s="6" t="inlineStr">
        <is>
          <t>1731183884833949252</t>
        </is>
      </c>
      <c r="E103" s="4" t="inlineStr">
        <is>
          <t>—</t>
        </is>
      </c>
      <c r="F103" s="5" t="inlineStr">
        <is>
          <t>Canister</t>
        </is>
      </c>
      <c r="G103" s="7" t="n">
        <v>49640</v>
      </c>
      <c r="H103" s="7">
        <f>IF(OR($E103="—",$G103="—"),"—",ROUND($G103/$E103,0))</f>
        <v/>
      </c>
      <c r="I103" s="8" t="n">
        <v>694963</v>
      </c>
      <c r="J103" s="7" t="n">
        <v>14</v>
      </c>
      <c r="K103" s="5" t="inlineStr">
        <is>
          <t>Alat/Aksesori (non-minuman)</t>
        </is>
      </c>
      <c r="L103" s="5" t="inlineStr">
        <is>
          <t>—</t>
        </is>
      </c>
      <c r="M103" s="4" t="inlineStr">
        <is>
          <t>—</t>
        </is>
      </c>
    </row>
    <row r="104">
      <c r="A104" s="4" t="n">
        <v>100</v>
      </c>
      <c r="B104" s="5" t="inlineStr">
        <is>
          <t>Homelab</t>
        </is>
      </c>
      <c r="C104" s="5" t="inlineStr">
        <is>
          <t>Bubuk / Powder Matcha &amp; Hojicha Premium</t>
        </is>
      </c>
      <c r="D104" s="6" t="inlineStr">
        <is>
          <t>1730557019085309508</t>
        </is>
      </c>
      <c r="E104" s="4" t="inlineStr">
        <is>
          <t>—</t>
        </is>
      </c>
      <c r="F104" s="5" t="inlineStr">
        <is>
          <t>Tidak tertera</t>
        </is>
      </c>
      <c r="G104" s="7" t="n">
        <v>230948</v>
      </c>
      <c r="H104" s="7">
        <f>IF(OR($E104="—",$G104="—"),"—",ROUND($G104/$E104,0))</f>
        <v/>
      </c>
      <c r="I104" s="8" t="n">
        <v>692845</v>
      </c>
      <c r="J104" s="7" t="n">
        <v>3</v>
      </c>
      <c r="K104" s="5" t="inlineStr">
        <is>
          <t>Hojicha</t>
        </is>
      </c>
      <c r="L104" s="5" t="inlineStr">
        <is>
          <t>—</t>
        </is>
      </c>
      <c r="M104" s="4" t="inlineStr">
        <is>
          <t>—</t>
        </is>
      </c>
    </row>
    <row r="105">
      <c r="A105" s="4" t="n">
        <v>101</v>
      </c>
      <c r="B105" s="5" t="inlineStr">
        <is>
          <t>Homelab</t>
        </is>
      </c>
      <c r="C105" s="5" t="inlineStr">
        <is>
          <t>Homelab Bubuk Coklat / Powder Chocolate - 200G</t>
        </is>
      </c>
      <c r="D105" s="6" t="inlineStr">
        <is>
          <t>1729667865706138180</t>
        </is>
      </c>
      <c r="E105" s="4" t="n">
        <v>200</v>
      </c>
      <c r="F105" s="5" t="inlineStr">
        <is>
          <t>Tidak tertera</t>
        </is>
      </c>
      <c r="G105" s="7" t="n">
        <v>84001</v>
      </c>
      <c r="H105" s="7">
        <f>IF(OR($E105="—",$G105="—"),"—",ROUND($G105/$E105,0))</f>
        <v/>
      </c>
      <c r="I105" s="8" t="n">
        <v>672007</v>
      </c>
      <c r="J105" s="7" t="n">
        <v>8</v>
      </c>
      <c r="K105" s="5" t="inlineStr">
        <is>
          <t>Chocolate</t>
        </is>
      </c>
      <c r="L105" s="5" t="inlineStr">
        <is>
          <t>—</t>
        </is>
      </c>
      <c r="M105" s="4" t="inlineStr">
        <is>
          <t>—</t>
        </is>
      </c>
    </row>
    <row r="106">
      <c r="A106" s="4" t="n">
        <v>102</v>
      </c>
      <c r="B106" s="5" t="inlineStr">
        <is>
          <t>Homelab</t>
        </is>
      </c>
      <c r="C106" s="5" t="inlineStr">
        <is>
          <t>Homelab Bubuk Minuman Sakura Latte Premium Powder 200G</t>
        </is>
      </c>
      <c r="D106" s="6" t="inlineStr">
        <is>
          <t>1729502080216697412</t>
        </is>
      </c>
      <c r="E106" s="4" t="n">
        <v>200</v>
      </c>
      <c r="F106" s="5" t="inlineStr">
        <is>
          <t>Tidak tertera</t>
        </is>
      </c>
      <c r="G106" s="7" t="n">
        <v>149728</v>
      </c>
      <c r="H106" s="7">
        <f>IF(OR($E106="—",$G106="—"),"—",ROUND($G106/$E106,0))</f>
        <v/>
      </c>
      <c r="I106" s="8" t="n">
        <v>598913</v>
      </c>
      <c r="J106" s="7" t="n">
        <v>4</v>
      </c>
      <c r="K106" s="5" t="inlineStr">
        <is>
          <t>Sakura</t>
        </is>
      </c>
      <c r="L106" s="5" t="inlineStr">
        <is>
          <t>—</t>
        </is>
      </c>
      <c r="M106" s="4" t="inlineStr">
        <is>
          <t>—</t>
        </is>
      </c>
    </row>
    <row r="107">
      <c r="A107" s="4" t="n">
        <v>103</v>
      </c>
      <c r="B107" s="5" t="inlineStr">
        <is>
          <t>Homelab</t>
        </is>
      </c>
      <c r="C107" s="5" t="inlineStr">
        <is>
          <t>Ceremonial Matcha Japan Ipoddo, Attelier, Tsujiri, Shohokuen- Bubuk matcha ceremonial grade Jepang</t>
        </is>
      </c>
      <c r="D107" s="6" t="inlineStr">
        <is>
          <t>1731183904703940164</t>
        </is>
      </c>
      <c r="E107" s="4" t="inlineStr">
        <is>
          <t>—</t>
        </is>
      </c>
      <c r="F107" s="5" t="inlineStr">
        <is>
          <t>Tidak tertera</t>
        </is>
      </c>
      <c r="G107" s="7" t="n">
        <v>575342</v>
      </c>
      <c r="H107" s="7">
        <f>IF(OR($E107="—",$G107="—"),"—",ROUND($G107/$E107,0))</f>
        <v/>
      </c>
      <c r="I107" s="8" t="n">
        <v>575342</v>
      </c>
      <c r="J107" s="7" t="n">
        <v>1</v>
      </c>
      <c r="K107" s="5" t="inlineStr">
        <is>
          <t>Matcha</t>
        </is>
      </c>
      <c r="L107" s="5" t="inlineStr">
        <is>
          <t>Ceremonial</t>
        </is>
      </c>
      <c r="M107" s="9" t="n">
        <v>1</v>
      </c>
    </row>
    <row r="108">
      <c r="A108" s="4" t="n">
        <v>104</v>
      </c>
      <c r="B108" s="5" t="inlineStr">
        <is>
          <t>Homelab</t>
        </is>
      </c>
      <c r="C108" s="5" t="inlineStr">
        <is>
          <t>Homelab Matcha Bowl + Chasen Holder Ceramic Premium - Mangkuk Pengaduk</t>
        </is>
      </c>
      <c r="D108" s="6" t="inlineStr">
        <is>
          <t>1730557157776328260</t>
        </is>
      </c>
      <c r="E108" s="4" t="inlineStr">
        <is>
          <t>—</t>
        </is>
      </c>
      <c r="F108" s="5" t="inlineStr">
        <is>
          <t>Tidak tertera</t>
        </is>
      </c>
      <c r="G108" s="7" t="n">
        <v>287112</v>
      </c>
      <c r="H108" s="7">
        <f>IF(OR($E108="—",$G108="—"),"—",ROUND($G108/$E108,0))</f>
        <v/>
      </c>
      <c r="I108" s="8" t="n">
        <v>574223</v>
      </c>
      <c r="J108" s="7" t="n">
        <v>2</v>
      </c>
      <c r="K108" s="5" t="inlineStr">
        <is>
          <t>Alat/Aksesori (non-minuman)</t>
        </is>
      </c>
      <c r="L108" s="5" t="inlineStr">
        <is>
          <t>—</t>
        </is>
      </c>
      <c r="M108" s="4" t="inlineStr">
        <is>
          <t>—</t>
        </is>
      </c>
    </row>
    <row r="109">
      <c r="A109" s="4" t="n">
        <v>105</v>
      </c>
      <c r="B109" s="5" t="inlineStr">
        <is>
          <t>Homelab</t>
        </is>
      </c>
      <c r="C109" s="5" t="inlineStr">
        <is>
          <t>Homelab Matcha Whisk Holder  \ | Dudukan Chasen Matcha Premium</t>
        </is>
      </c>
      <c r="D109" s="6" t="inlineStr">
        <is>
          <t>1734644865193510468</t>
        </is>
      </c>
      <c r="E109" s="4" t="inlineStr">
        <is>
          <t>—</t>
        </is>
      </c>
      <c r="F109" s="5" t="inlineStr">
        <is>
          <t>Tidak tertera</t>
        </is>
      </c>
      <c r="G109" s="7" t="n">
        <v>141353</v>
      </c>
      <c r="H109" s="7">
        <f>IF(OR($E109="—",$G109="—"),"—",ROUND($G109/$E109,0))</f>
        <v/>
      </c>
      <c r="I109" s="8" t="n">
        <v>565413</v>
      </c>
      <c r="J109" s="7" t="n">
        <v>4</v>
      </c>
      <c r="K109" s="5" t="inlineStr">
        <is>
          <t>Alat/Aksesori (non-minuman)</t>
        </is>
      </c>
      <c r="L109" s="5" t="inlineStr">
        <is>
          <t>—</t>
        </is>
      </c>
      <c r="M109" s="4" t="inlineStr">
        <is>
          <t>—</t>
        </is>
      </c>
    </row>
    <row r="110">
      <c r="A110" s="4" t="n">
        <v>106</v>
      </c>
      <c r="B110" s="5" t="inlineStr">
        <is>
          <t>Homelab</t>
        </is>
      </c>
      <c r="C110" s="5" t="inlineStr">
        <is>
          <t>Homelab Electric Ceramic Tea Pot Premium \ | Teko Masak Air - 1.2L</t>
        </is>
      </c>
      <c r="D110" s="6" t="inlineStr">
        <is>
          <t>1734644865193510468</t>
        </is>
      </c>
      <c r="E110" s="4" t="inlineStr">
        <is>
          <t>—</t>
        </is>
      </c>
      <c r="F110" s="5" t="inlineStr">
        <is>
          <t>Tidak tertera</t>
        </is>
      </c>
      <c r="G110" s="7" t="n">
        <v>141353</v>
      </c>
      <c r="H110" s="7">
        <f>IF(OR($E110="—",$G110="—"),"—",ROUND($G110/$E110,0))</f>
        <v/>
      </c>
      <c r="I110" s="8" t="n">
        <v>565413</v>
      </c>
      <c r="J110" s="7" t="n">
        <v>4</v>
      </c>
      <c r="K110" s="5" t="inlineStr">
        <is>
          <t>Alat/Aksesori (non-minuman)</t>
        </is>
      </c>
      <c r="L110" s="5" t="inlineStr">
        <is>
          <t>—</t>
        </is>
      </c>
      <c r="M110" s="4" t="inlineStr">
        <is>
          <t>—</t>
        </is>
      </c>
    </row>
    <row r="111">
      <c r="A111" s="4" t="n">
        <v>107</v>
      </c>
      <c r="B111" s="5" t="inlineStr">
        <is>
          <t>Homelab</t>
        </is>
      </c>
      <c r="C111" s="5" t="inlineStr">
        <is>
          <t>Homelab Matcha Bowl No.50 + Chasen Holder – Mangkuk Matcha Ceremonial Kaca Premium (Pink / Lavender)</t>
        </is>
      </c>
      <c r="D111" s="6" t="inlineStr">
        <is>
          <t>1734440080463595076</t>
        </is>
      </c>
      <c r="E111" s="4" t="inlineStr">
        <is>
          <t>—</t>
        </is>
      </c>
      <c r="F111" s="5" t="inlineStr">
        <is>
          <t>Tidak tertera</t>
        </is>
      </c>
      <c r="G111" s="7" t="n">
        <v>279352</v>
      </c>
      <c r="H111" s="7">
        <f>IF(OR($E111="—",$G111="—"),"—",ROUND($G111/$E111,0))</f>
        <v/>
      </c>
      <c r="I111" s="8" t="n">
        <v>558704</v>
      </c>
      <c r="J111" s="7" t="n">
        <v>2</v>
      </c>
      <c r="K111" s="5" t="inlineStr">
        <is>
          <t>Alat/Aksesori (non-minuman)</t>
        </is>
      </c>
      <c r="L111" s="5" t="inlineStr">
        <is>
          <t>—</t>
        </is>
      </c>
      <c r="M111" s="4" t="inlineStr">
        <is>
          <t>—</t>
        </is>
      </c>
    </row>
    <row r="112">
      <c r="A112" s="4" t="n">
        <v>108</v>
      </c>
      <c r="B112" s="5" t="inlineStr">
        <is>
          <t>Homelab</t>
        </is>
      </c>
      <c r="C112" s="5" t="inlineStr">
        <is>
          <t>Homelab Bubuk / Powder Matcha &amp; Chocolate Premium</t>
        </is>
      </c>
      <c r="D112" s="6" t="inlineStr">
        <is>
          <t>1729507705918622276</t>
        </is>
      </c>
      <c r="E112" s="4" t="inlineStr">
        <is>
          <t>—</t>
        </is>
      </c>
      <c r="F112" s="5" t="inlineStr">
        <is>
          <t>Tidak tertera</t>
        </is>
      </c>
      <c r="G112" s="7" t="n">
        <v>180733</v>
      </c>
      <c r="H112" s="7">
        <f>IF(OR($E112="—",$G112="—"),"—",ROUND($G112/$E112,0))</f>
        <v/>
      </c>
      <c r="I112" s="8" t="n">
        <v>542198</v>
      </c>
      <c r="J112" s="7" t="n">
        <v>3</v>
      </c>
      <c r="K112" s="5" t="inlineStr">
        <is>
          <t>Chocolate</t>
        </is>
      </c>
      <c r="L112" s="5" t="inlineStr">
        <is>
          <t>—</t>
        </is>
      </c>
      <c r="M112" s="4" t="inlineStr">
        <is>
          <t>—</t>
        </is>
      </c>
    </row>
    <row r="113">
      <c r="A113" s="4" t="n">
        <v>109</v>
      </c>
      <c r="B113" s="5" t="inlineStr">
        <is>
          <t>Homelab</t>
        </is>
      </c>
      <c r="C113" s="5" t="inlineStr">
        <is>
          <t>Homelab Matcha Bowl no.3 \ | Mangkuk Matcha Ceremonial</t>
        </is>
      </c>
      <c r="D113" s="6" t="inlineStr">
        <is>
          <t>1734381668535469636</t>
        </is>
      </c>
      <c r="E113" s="4" t="inlineStr">
        <is>
          <t>—</t>
        </is>
      </c>
      <c r="F113" s="5" t="inlineStr">
        <is>
          <t>Tidak tertera</t>
        </is>
      </c>
      <c r="G113" s="7" t="n">
        <v>226673</v>
      </c>
      <c r="H113" s="7">
        <f>IF(OR($E113="—",$G113="—"),"—",ROUND($G113/$E113,0))</f>
        <v/>
      </c>
      <c r="I113" s="8" t="n">
        <v>453345</v>
      </c>
      <c r="J113" s="7" t="n">
        <v>2</v>
      </c>
      <c r="K113" s="5" t="inlineStr">
        <is>
          <t>Alat/Aksesori (non-minuman)</t>
        </is>
      </c>
      <c r="L113" s="5" t="inlineStr">
        <is>
          <t>—</t>
        </is>
      </c>
      <c r="M113" s="4" t="inlineStr">
        <is>
          <t>—</t>
        </is>
      </c>
    </row>
    <row r="114">
      <c r="A114" s="4" t="n">
        <v>110</v>
      </c>
      <c r="B114" s="5" t="inlineStr">
        <is>
          <t>Homelab</t>
        </is>
      </c>
      <c r="C114" s="5" t="inlineStr">
        <is>
          <t>Homelab Matcha Bowl no.6 \ | Mangkuk Matcha Ceremonial Thick</t>
        </is>
      </c>
      <c r="D114" s="6" t="inlineStr">
        <is>
          <t>1734387232100222532</t>
        </is>
      </c>
      <c r="E114" s="4" t="inlineStr">
        <is>
          <t>—</t>
        </is>
      </c>
      <c r="F114" s="5" t="inlineStr">
        <is>
          <t>Tidak tertera</t>
        </is>
      </c>
      <c r="G114" s="7" t="n">
        <v>226338</v>
      </c>
      <c r="H114" s="7">
        <f>IF(OR($E114="—",$G114="—"),"—",ROUND($G114/$E114,0))</f>
        <v/>
      </c>
      <c r="I114" s="8" t="n">
        <v>452676</v>
      </c>
      <c r="J114" s="7" t="n">
        <v>2</v>
      </c>
      <c r="K114" s="5" t="inlineStr">
        <is>
          <t>Alat/Aksesori (non-minuman)</t>
        </is>
      </c>
      <c r="L114" s="5" t="inlineStr">
        <is>
          <t>—</t>
        </is>
      </c>
      <c r="M114" s="4" t="inlineStr">
        <is>
          <t>—</t>
        </is>
      </c>
    </row>
    <row r="115">
      <c r="A115" s="4" t="n">
        <v>111</v>
      </c>
      <c r="B115" s="5" t="inlineStr">
        <is>
          <t>Homelab</t>
        </is>
      </c>
      <c r="C115" s="5" t="inlineStr">
        <is>
          <t>100% Organic Healthy Palm Sugar - Organik Gula Aren Premium</t>
        </is>
      </c>
      <c r="D115" s="6" t="inlineStr">
        <is>
          <t>1730557013449606724</t>
        </is>
      </c>
      <c r="E115" s="4" t="inlineStr">
        <is>
          <t>—</t>
        </is>
      </c>
      <c r="F115" s="5" t="inlineStr">
        <is>
          <t>Tidak tertera</t>
        </is>
      </c>
      <c r="G115" s="7" t="n">
        <v>29982</v>
      </c>
      <c r="H115" s="7">
        <f>IF(OR($E115="—",$G115="—"),"—",ROUND($G115/$E115,0))</f>
        <v/>
      </c>
      <c r="I115" s="8" t="n">
        <v>449732</v>
      </c>
      <c r="J115" s="7" t="n">
        <v>15</v>
      </c>
      <c r="K115" s="5" t="inlineStr">
        <is>
          <t>Lainnya</t>
        </is>
      </c>
      <c r="L115" s="5" t="inlineStr">
        <is>
          <t>—</t>
        </is>
      </c>
      <c r="M115" s="4" t="inlineStr">
        <is>
          <t>—</t>
        </is>
      </c>
    </row>
    <row r="116">
      <c r="A116" s="4" t="n">
        <v>112</v>
      </c>
      <c r="B116" s="5" t="inlineStr">
        <is>
          <t>Homelab</t>
        </is>
      </c>
      <c r="C116" s="5" t="inlineStr">
        <is>
          <t>Homelab Matcha Bowl no.9 \ | Mangkuk Matcha Ceremonial Artisan Pour Shape</t>
        </is>
      </c>
      <c r="D116" s="6" t="inlineStr">
        <is>
          <t>1734388008163837508</t>
        </is>
      </c>
      <c r="E116" s="4" t="inlineStr">
        <is>
          <t>—</t>
        </is>
      </c>
      <c r="F116" s="5" t="inlineStr">
        <is>
          <t>Tidak tertera</t>
        </is>
      </c>
      <c r="G116" s="7" t="n">
        <v>147951</v>
      </c>
      <c r="H116" s="7">
        <f>IF(OR($E116="—",$G116="—"),"—",ROUND($G116/$E116,0))</f>
        <v/>
      </c>
      <c r="I116" s="8" t="n">
        <v>443854</v>
      </c>
      <c r="J116" s="7" t="n">
        <v>3</v>
      </c>
      <c r="K116" s="5" t="inlineStr">
        <is>
          <t>Alat/Aksesori (non-minuman)</t>
        </is>
      </c>
      <c r="L116" s="5" t="inlineStr">
        <is>
          <t>—</t>
        </is>
      </c>
      <c r="M116" s="4" t="inlineStr">
        <is>
          <t>—</t>
        </is>
      </c>
    </row>
    <row r="117">
      <c r="A117" s="4" t="n">
        <v>113</v>
      </c>
      <c r="B117" s="5" t="inlineStr">
        <is>
          <t>Homelab</t>
        </is>
      </c>
      <c r="C117" s="5" t="inlineStr">
        <is>
          <t>2 Bks Bubuk / Powder Chocolate Premium</t>
        </is>
      </c>
      <c r="D117" s="6" t="inlineStr">
        <is>
          <t>1730557020021098052</t>
        </is>
      </c>
      <c r="E117" s="4" t="inlineStr">
        <is>
          <t>—</t>
        </is>
      </c>
      <c r="F117" s="5" t="inlineStr">
        <is>
          <t>Tidak tertera</t>
        </is>
      </c>
      <c r="G117" s="7" t="n">
        <v>180106</v>
      </c>
      <c r="H117" s="7">
        <f>IF(OR($E117="—",$G117="—"),"—",ROUND($G117/$E117,0))</f>
        <v/>
      </c>
      <c r="I117" s="8" t="n">
        <v>360212</v>
      </c>
      <c r="J117" s="7" t="n">
        <v>2</v>
      </c>
      <c r="K117" s="5" t="inlineStr">
        <is>
          <t>Chocolate</t>
        </is>
      </c>
      <c r="L117" s="5" t="inlineStr">
        <is>
          <t>—</t>
        </is>
      </c>
      <c r="M117" s="4" t="inlineStr">
        <is>
          <t>—</t>
        </is>
      </c>
    </row>
    <row r="118">
      <c r="A118" s="4" t="n">
        <v>114</v>
      </c>
      <c r="B118" s="5" t="inlineStr">
        <is>
          <t>Homelab</t>
        </is>
      </c>
      <c r="C118" s="5" t="inlineStr">
        <is>
          <t>Homelab Matcha Bowl no.8 \ | Mangkuk Matcha Ceremonial Artisan Shape</t>
        </is>
      </c>
      <c r="D118" s="6" t="inlineStr">
        <is>
          <t>1734387998898488900</t>
        </is>
      </c>
      <c r="E118" s="4" t="inlineStr">
        <is>
          <t>—</t>
        </is>
      </c>
      <c r="F118" s="5" t="inlineStr">
        <is>
          <t>Tidak tertera</t>
        </is>
      </c>
      <c r="G118" s="7" t="n">
        <v>173983</v>
      </c>
      <c r="H118" s="7">
        <f>IF(OR($E118="—",$G118="—"),"—",ROUND($G118/$E118,0))</f>
        <v/>
      </c>
      <c r="I118" s="8" t="n">
        <v>347967</v>
      </c>
      <c r="J118" s="7" t="n">
        <v>2</v>
      </c>
      <c r="K118" s="5" t="inlineStr">
        <is>
          <t>Alat/Aksesori (non-minuman)</t>
        </is>
      </c>
      <c r="L118" s="5" t="inlineStr">
        <is>
          <t>—</t>
        </is>
      </c>
      <c r="M118" s="4" t="inlineStr">
        <is>
          <t>—</t>
        </is>
      </c>
    </row>
    <row r="119">
      <c r="A119" s="4" t="n">
        <v>115</v>
      </c>
      <c r="B119" s="5" t="inlineStr">
        <is>
          <t>Homelab</t>
        </is>
      </c>
      <c r="C119" s="5" t="inlineStr">
        <is>
          <t>PROMO Paket Bubuk Matcha / Hojicha / Chocolate - PREMIUM GRADE</t>
        </is>
      </c>
      <c r="D119" s="6" t="inlineStr">
        <is>
          <t>1730557021455418948</t>
        </is>
      </c>
      <c r="E119" s="4" t="inlineStr">
        <is>
          <t>—</t>
        </is>
      </c>
      <c r="F119" s="5" t="inlineStr">
        <is>
          <t>Tidak tertera</t>
        </is>
      </c>
      <c r="G119" s="7" t="n">
        <v>277900</v>
      </c>
      <c r="H119" s="7">
        <f>IF(OR($E119="—",$G119="—"),"—",ROUND($G119/$E119,0))</f>
        <v/>
      </c>
      <c r="I119" s="8" t="n">
        <v>277900</v>
      </c>
      <c r="J119" s="7" t="n">
        <v>1</v>
      </c>
      <c r="K119" s="5" t="inlineStr">
        <is>
          <t>Hojicha</t>
        </is>
      </c>
      <c r="L119" s="5" t="inlineStr">
        <is>
          <t>—</t>
        </is>
      </c>
      <c r="M119" s="4" t="inlineStr">
        <is>
          <t>—</t>
        </is>
      </c>
    </row>
    <row r="120">
      <c r="A120" s="4" t="n">
        <v>116</v>
      </c>
      <c r="B120" s="5" t="inlineStr">
        <is>
          <t>Homelab</t>
        </is>
      </c>
      <c r="C120" s="5" t="inlineStr">
        <is>
          <t>Homelab Matcha Bowl no.1 + Chasen Holder \ | Mangkuk Matcha Ceremonial</t>
        </is>
      </c>
      <c r="D120" s="6" t="inlineStr">
        <is>
          <t>1734381045833369156</t>
        </is>
      </c>
      <c r="E120" s="4" t="inlineStr">
        <is>
          <t>—</t>
        </is>
      </c>
      <c r="F120" s="5" t="inlineStr">
        <is>
          <t>Tidak tertera</t>
        </is>
      </c>
      <c r="G120" s="7" t="n">
        <v>268511</v>
      </c>
      <c r="H120" s="7">
        <f>IF(OR($E120="—",$G120="—"),"—",ROUND($G120/$E120,0))</f>
        <v/>
      </c>
      <c r="I120" s="8" t="n">
        <v>268511</v>
      </c>
      <c r="J120" s="7" t="n">
        <v>1</v>
      </c>
      <c r="K120" s="5" t="inlineStr">
        <is>
          <t>Alat/Aksesori (non-minuman)</t>
        </is>
      </c>
      <c r="L120" s="5" t="inlineStr">
        <is>
          <t>—</t>
        </is>
      </c>
      <c r="M120" s="4" t="inlineStr">
        <is>
          <t>—</t>
        </is>
      </c>
    </row>
    <row r="121">
      <c r="A121" s="4" t="n">
        <v>117</v>
      </c>
      <c r="B121" s="5" t="inlineStr">
        <is>
          <t>Homelab</t>
        </is>
      </c>
      <c r="C121" s="5" t="inlineStr">
        <is>
          <t>Homelab Matcha Ceramic Canister / Wadah Bubuk Matcha Keramik</t>
        </is>
      </c>
      <c r="D121" s="6" t="inlineStr">
        <is>
          <t>1730557159378028100</t>
        </is>
      </c>
      <c r="E121" s="4" t="inlineStr">
        <is>
          <t>—</t>
        </is>
      </c>
      <c r="F121" s="5" t="inlineStr">
        <is>
          <t>Canister</t>
        </is>
      </c>
      <c r="G121" s="7" t="n">
        <v>28492</v>
      </c>
      <c r="H121" s="7">
        <f>IF(OR($E121="—",$G121="—"),"—",ROUND($G121/$E121,0))</f>
        <v/>
      </c>
      <c r="I121" s="8" t="n">
        <v>256431</v>
      </c>
      <c r="J121" s="7" t="n">
        <v>9</v>
      </c>
      <c r="K121" s="5" t="inlineStr">
        <is>
          <t>Alat/Aksesori (non-minuman)</t>
        </is>
      </c>
      <c r="L121" s="5" t="inlineStr">
        <is>
          <t>—</t>
        </is>
      </c>
      <c r="M121" s="4" t="inlineStr">
        <is>
          <t>—</t>
        </is>
      </c>
    </row>
    <row r="122">
      <c r="A122" s="4" t="n">
        <v>118</v>
      </c>
      <c r="B122" s="5" t="inlineStr">
        <is>
          <t>Homelab</t>
        </is>
      </c>
      <c r="C122" s="5" t="inlineStr">
        <is>
          <t>Homelab – Ujinoko Uji Kyoto Premium Ceremonial Matcha (20g)</t>
        </is>
      </c>
      <c r="D122" s="6" t="inlineStr">
        <is>
          <t>1734489935564080708</t>
        </is>
      </c>
      <c r="E122" s="4" t="n">
        <v>20</v>
      </c>
      <c r="F122" s="5" t="inlineStr">
        <is>
          <t>Tidak tertera</t>
        </is>
      </c>
      <c r="G122" s="7" t="n">
        <v>240243</v>
      </c>
      <c r="H122" s="7">
        <f>IF(OR($E122="—",$G122="—"),"—",ROUND($G122/$E122,0))</f>
        <v/>
      </c>
      <c r="I122" s="8" t="n">
        <v>240243</v>
      </c>
      <c r="J122" s="7" t="n">
        <v>1</v>
      </c>
      <c r="K122" s="5" t="inlineStr">
        <is>
          <t>Matcha</t>
        </is>
      </c>
      <c r="L122" s="5" t="inlineStr">
        <is>
          <t>Ceremonial</t>
        </is>
      </c>
      <c r="M122" s="9" t="n">
        <v>1</v>
      </c>
    </row>
    <row r="123">
      <c r="A123" s="4" t="n">
        <v>119</v>
      </c>
      <c r="B123" s="5" t="inlineStr">
        <is>
          <t>Homelab</t>
        </is>
      </c>
      <c r="C123" s="5" t="inlineStr">
        <is>
          <t>Homelab Chasen / Matcha Whisk &amp; Scoop - Premium Bamboo</t>
        </is>
      </c>
      <c r="D123" s="6" t="inlineStr">
        <is>
          <t>1729430877946874436</t>
        </is>
      </c>
      <c r="E123" s="4" t="inlineStr">
        <is>
          <t>—</t>
        </is>
      </c>
      <c r="F123" s="5" t="inlineStr">
        <is>
          <t>Tidak tertera</t>
        </is>
      </c>
      <c r="G123" s="7" t="n">
        <v>230889</v>
      </c>
      <c r="H123" s="7">
        <f>IF(OR($E123="—",$G123="—"),"—",ROUND($G123/$E123,0))</f>
        <v/>
      </c>
      <c r="I123" s="8" t="n">
        <v>230889</v>
      </c>
      <c r="J123" s="7" t="n">
        <v>1</v>
      </c>
      <c r="K123" s="5" t="inlineStr">
        <is>
          <t>Alat/Aksesori (non-minuman)</t>
        </is>
      </c>
      <c r="L123" s="5" t="inlineStr">
        <is>
          <t>—</t>
        </is>
      </c>
      <c r="M123" s="4" t="inlineStr">
        <is>
          <t>—</t>
        </is>
      </c>
    </row>
    <row r="124">
      <c r="A124" s="4" t="n">
        <v>120</v>
      </c>
      <c r="B124" s="5" t="inlineStr">
        <is>
          <t>Homelab</t>
        </is>
      </c>
      <c r="C124" s="5" t="inlineStr">
        <is>
          <t>Homelab Matcha Whisk Holder Glass Stand - Dudukan / Tatakan Pengaduk Matcha Kaca</t>
        </is>
      </c>
      <c r="D124" s="6" t="inlineStr">
        <is>
          <t>1730557157069850180</t>
        </is>
      </c>
      <c r="E124" s="4" t="inlineStr">
        <is>
          <t>—</t>
        </is>
      </c>
      <c r="F124" s="5" t="inlineStr">
        <is>
          <t>Tidak tertera</t>
        </is>
      </c>
      <c r="G124" s="7" t="n">
        <v>111305</v>
      </c>
      <c r="H124" s="7">
        <f>IF(OR($E124="—",$G124="—"),"—",ROUND($G124/$E124,0))</f>
        <v/>
      </c>
      <c r="I124" s="8" t="n">
        <v>222610</v>
      </c>
      <c r="J124" s="7" t="n">
        <v>2</v>
      </c>
      <c r="K124" s="5" t="inlineStr">
        <is>
          <t>Alat/Aksesori (non-minuman)</t>
        </is>
      </c>
      <c r="L124" s="5" t="inlineStr">
        <is>
          <t>—</t>
        </is>
      </c>
      <c r="M124" s="4" t="inlineStr">
        <is>
          <t>—</t>
        </is>
      </c>
    </row>
    <row r="125">
      <c r="A125" s="4" t="n">
        <v>121</v>
      </c>
      <c r="B125" s="5" t="inlineStr">
        <is>
          <t>Homelab</t>
        </is>
      </c>
      <c r="C125" s="5" t="inlineStr">
        <is>
          <t>Homelab Matcha Measuring Spoon / Sendok Takar - High Quality Stainless Steel</t>
        </is>
      </c>
      <c r="D125" s="6" t="inlineStr">
        <is>
          <t>1730557156973315652</t>
        </is>
      </c>
      <c r="E125" s="4" t="inlineStr">
        <is>
          <t>—</t>
        </is>
      </c>
      <c r="F125" s="5" t="inlineStr">
        <is>
          <t>Tidak tertera</t>
        </is>
      </c>
      <c r="G125" s="7" t="n">
        <v>43782</v>
      </c>
      <c r="H125" s="7">
        <f>IF(OR($E125="—",$G125="—"),"—",ROUND($G125/$E125,0))</f>
        <v/>
      </c>
      <c r="I125" s="8" t="n">
        <v>218907</v>
      </c>
      <c r="J125" s="7" t="n">
        <v>5</v>
      </c>
      <c r="K125" s="5" t="inlineStr">
        <is>
          <t>Alat/Aksesori (non-minuman)</t>
        </is>
      </c>
      <c r="L125" s="5" t="inlineStr">
        <is>
          <t>—</t>
        </is>
      </c>
      <c r="M125" s="4" t="inlineStr">
        <is>
          <t>—</t>
        </is>
      </c>
    </row>
    <row r="126">
      <c r="A126" s="4" t="n">
        <v>122</v>
      </c>
      <c r="B126" s="5" t="inlineStr">
        <is>
          <t>Homelab</t>
        </is>
      </c>
      <c r="C126" s="5" t="inlineStr">
        <is>
          <t>Bubuk Minuman GENMAICHA LATTE - Premium Drink Powder 200g</t>
        </is>
      </c>
      <c r="D126" s="6" t="inlineStr">
        <is>
          <t>1729507704042981956</t>
        </is>
      </c>
      <c r="E126" s="4" t="n">
        <v>200</v>
      </c>
      <c r="F126" s="5" t="inlineStr">
        <is>
          <t>Tidak tertera</t>
        </is>
      </c>
      <c r="G126" s="7" t="n">
        <v>98116</v>
      </c>
      <c r="H126" s="7">
        <f>IF(OR($E126="—",$G126="—"),"—",ROUND($G126/$E126,0))</f>
        <v/>
      </c>
      <c r="I126" s="8" t="n">
        <v>196232</v>
      </c>
      <c r="J126" s="7" t="n">
        <v>2</v>
      </c>
      <c r="K126" s="5" t="inlineStr">
        <is>
          <t>Genmaicha (matcha iri)</t>
        </is>
      </c>
      <c r="L126" s="5" t="inlineStr">
        <is>
          <t>—</t>
        </is>
      </c>
      <c r="M126" s="4" t="inlineStr">
        <is>
          <t>—</t>
        </is>
      </c>
    </row>
    <row r="127">
      <c r="A127" s="4" t="n">
        <v>123</v>
      </c>
      <c r="B127" s="5" t="inlineStr">
        <is>
          <t>Homelab</t>
        </is>
      </c>
      <c r="C127" s="5" t="inlineStr">
        <is>
          <t>Homelab Tea Strainer Premium Mesh \ | Saringan Teh Stainless Steel</t>
        </is>
      </c>
      <c r="D127" s="6" t="inlineStr">
        <is>
          <t>1734440308738524740</t>
        </is>
      </c>
      <c r="E127" s="4" t="inlineStr">
        <is>
          <t>—</t>
        </is>
      </c>
      <c r="F127" s="5" t="inlineStr">
        <is>
          <t>Tidak tertera</t>
        </is>
      </c>
      <c r="G127" s="7" t="n">
        <v>97307</v>
      </c>
      <c r="H127" s="7">
        <f>IF(OR($E127="—",$G127="—"),"—",ROUND($G127/$E127,0))</f>
        <v/>
      </c>
      <c r="I127" s="8" t="n">
        <v>194614</v>
      </c>
      <c r="J127" s="7" t="n">
        <v>2</v>
      </c>
      <c r="K127" s="5" t="inlineStr">
        <is>
          <t>Alat/Aksesori (non-minuman)</t>
        </is>
      </c>
      <c r="L127" s="5" t="inlineStr">
        <is>
          <t>—</t>
        </is>
      </c>
      <c r="M127" s="4" t="inlineStr">
        <is>
          <t>—</t>
        </is>
      </c>
    </row>
    <row r="128">
      <c r="A128" s="4" t="n">
        <v>124</v>
      </c>
      <c r="B128" s="5" t="inlineStr">
        <is>
          <t>Homelab</t>
        </is>
      </c>
      <c r="C128" s="5" t="inlineStr">
        <is>
          <t>100% Pure Hojicha - Bubuk Hojicha Premium Grade</t>
        </is>
      </c>
      <c r="D128" s="6" t="inlineStr">
        <is>
          <t>1729507684937206340</t>
        </is>
      </c>
      <c r="E128" s="4" t="inlineStr">
        <is>
          <t>—</t>
        </is>
      </c>
      <c r="F128" s="5" t="inlineStr">
        <is>
          <t>Tidak tertera</t>
        </is>
      </c>
      <c r="G128" s="7" t="n">
        <v>192098</v>
      </c>
      <c r="H128" s="7">
        <f>IF(OR($E128="—",$G128="—"),"—",ROUND($G128/$E128,0))</f>
        <v/>
      </c>
      <c r="I128" s="8" t="n">
        <v>192098</v>
      </c>
      <c r="J128" s="7" t="n">
        <v>1</v>
      </c>
      <c r="K128" s="5" t="inlineStr">
        <is>
          <t>Hojicha</t>
        </is>
      </c>
      <c r="L128" s="5" t="inlineStr">
        <is>
          <t>—</t>
        </is>
      </c>
      <c r="M128" s="4" t="inlineStr">
        <is>
          <t>—</t>
        </is>
      </c>
    </row>
    <row r="129">
      <c r="A129" s="4" t="n">
        <v>125</v>
      </c>
      <c r="B129" s="5" t="inlineStr">
        <is>
          <t>Homelab</t>
        </is>
      </c>
      <c r="C129" s="5" t="inlineStr">
        <is>
          <t>Full-Hand Chasen / Matcha Whisk &amp; Scoop - Premium Golden Bamboo</t>
        </is>
      </c>
      <c r="D129" s="6" t="inlineStr">
        <is>
          <t>1731183868201698884</t>
        </is>
      </c>
      <c r="E129" s="4" t="inlineStr">
        <is>
          <t>—</t>
        </is>
      </c>
      <c r="F129" s="5" t="inlineStr">
        <is>
          <t>Tidak tertera</t>
        </is>
      </c>
      <c r="G129" s="7" t="n">
        <v>191434</v>
      </c>
      <c r="H129" s="7">
        <f>IF(OR($E129="—",$G129="—"),"—",ROUND($G129/$E129,0))</f>
        <v/>
      </c>
      <c r="I129" s="8" t="n">
        <v>191434</v>
      </c>
      <c r="J129" s="7" t="n">
        <v>1</v>
      </c>
      <c r="K129" s="5" t="inlineStr">
        <is>
          <t>Alat/Aksesori (non-minuman)</t>
        </is>
      </c>
      <c r="L129" s="5" t="inlineStr">
        <is>
          <t>—</t>
        </is>
      </c>
      <c r="M129" s="4" t="inlineStr">
        <is>
          <t>—</t>
        </is>
      </c>
    </row>
    <row r="130">
      <c r="A130" s="4" t="n">
        <v>126</v>
      </c>
      <c r="B130" s="5" t="inlineStr">
        <is>
          <t>Homelab</t>
        </is>
      </c>
      <c r="C130" s="5" t="inlineStr">
        <is>
          <t>3x Pure Taro Premium - 100g / 3 Toples Bubuk Taro Paket Promo</t>
        </is>
      </c>
      <c r="D130" s="6" t="inlineStr">
        <is>
          <t>1730557020323284548</t>
        </is>
      </c>
      <c r="E130" s="4" t="n">
        <v>100</v>
      </c>
      <c r="F130" s="5" t="inlineStr">
        <is>
          <t>Jar</t>
        </is>
      </c>
      <c r="G130" s="7" t="n">
        <v>181002</v>
      </c>
      <c r="H130" s="7">
        <f>IF(OR($E130="—",$G130="—"),"—",ROUND($G130/$E130,0))</f>
        <v/>
      </c>
      <c r="I130" s="8" t="n">
        <v>181002</v>
      </c>
      <c r="J130" s="7" t="n">
        <v>1</v>
      </c>
      <c r="K130" s="5" t="inlineStr">
        <is>
          <t>Taro</t>
        </is>
      </c>
      <c r="L130" s="5" t="inlineStr">
        <is>
          <t>—</t>
        </is>
      </c>
      <c r="M130" s="4" t="inlineStr">
        <is>
          <t>—</t>
        </is>
      </c>
    </row>
    <row r="131">
      <c r="A131" s="4" t="n">
        <v>127</v>
      </c>
      <c r="B131" s="5" t="inlineStr">
        <is>
          <t>Homelab</t>
        </is>
      </c>
      <c r="C131" s="5" t="inlineStr">
        <is>
          <t>Homelab Matcha Bowl no.10 \ | Mangkuk Matcha Ceremonial Premium Round</t>
        </is>
      </c>
      <c r="D131" s="6" t="inlineStr">
        <is>
          <t>1734388285984441924</t>
        </is>
      </c>
      <c r="E131" s="4" t="inlineStr">
        <is>
          <t>—</t>
        </is>
      </c>
      <c r="F131" s="5" t="inlineStr">
        <is>
          <t>Tidak tertera</t>
        </is>
      </c>
      <c r="G131" s="7" t="n">
        <v>176156</v>
      </c>
      <c r="H131" s="7">
        <f>IF(OR($E131="—",$G131="—"),"—",ROUND($G131/$E131,0))</f>
        <v/>
      </c>
      <c r="I131" s="8" t="n">
        <v>176156</v>
      </c>
      <c r="J131" s="7" t="n">
        <v>1</v>
      </c>
      <c r="K131" s="5" t="inlineStr">
        <is>
          <t>Alat/Aksesori (non-minuman)</t>
        </is>
      </c>
      <c r="L131" s="5" t="inlineStr">
        <is>
          <t>—</t>
        </is>
      </c>
      <c r="M131" s="4" t="inlineStr">
        <is>
          <t>—</t>
        </is>
      </c>
    </row>
    <row r="132">
      <c r="A132" s="4" t="n">
        <v>128</v>
      </c>
      <c r="B132" s="5" t="inlineStr">
        <is>
          <t>Homelab</t>
        </is>
      </c>
      <c r="C132" s="5" t="inlineStr">
        <is>
          <t>Homelab Bubuk Minuman Red Velvet Latte Premium Powder 200G</t>
        </is>
      </c>
      <c r="D132" s="6" t="inlineStr">
        <is>
          <t>1729507668598557252</t>
        </is>
      </c>
      <c r="E132" s="4" t="n">
        <v>200</v>
      </c>
      <c r="F132" s="5" t="inlineStr">
        <is>
          <t>Tidak tertera</t>
        </is>
      </c>
      <c r="G132" s="7" t="n">
        <v>80448</v>
      </c>
      <c r="H132" s="7">
        <f>IF(OR($E132="—",$G132="—"),"—",ROUND($G132/$E132,0))</f>
        <v/>
      </c>
      <c r="I132" s="8" t="n">
        <v>160896</v>
      </c>
      <c r="J132" s="7" t="n">
        <v>2</v>
      </c>
      <c r="K132" s="5" t="inlineStr">
        <is>
          <t>Lainnya</t>
        </is>
      </c>
      <c r="L132" s="5" t="inlineStr">
        <is>
          <t>—</t>
        </is>
      </c>
      <c r="M132" s="4" t="inlineStr">
        <is>
          <t>—</t>
        </is>
      </c>
    </row>
    <row r="133">
      <c r="A133" s="4" t="n">
        <v>129</v>
      </c>
      <c r="B133" s="5" t="inlineStr">
        <is>
          <t>Homelab</t>
        </is>
      </c>
      <c r="C133" s="5" t="inlineStr">
        <is>
          <t>Homelab – Tenarai Uji Kyoto Ceremonial Matcha High Grade (20g)</t>
        </is>
      </c>
      <c r="D133" s="6" t="inlineStr">
        <is>
          <t>1734498182578406980</t>
        </is>
      </c>
      <c r="E133" s="4" t="n">
        <v>20</v>
      </c>
      <c r="F133" s="5" t="inlineStr">
        <is>
          <t>Tidak tertera</t>
        </is>
      </c>
      <c r="G133" s="7" t="n">
        <v>140794</v>
      </c>
      <c r="H133" s="7">
        <f>IF(OR($E133="—",$G133="—"),"—",ROUND($G133/$E133,0))</f>
        <v/>
      </c>
      <c r="I133" s="8" t="n">
        <v>140794</v>
      </c>
      <c r="J133" s="7" t="n">
        <v>1</v>
      </c>
      <c r="K133" s="5" t="inlineStr">
        <is>
          <t>Matcha</t>
        </is>
      </c>
      <c r="L133" s="5" t="inlineStr">
        <is>
          <t>Ceremonial</t>
        </is>
      </c>
      <c r="M133" s="9" t="n">
        <v>1</v>
      </c>
    </row>
    <row r="134">
      <c r="A134" s="4" t="n">
        <v>130</v>
      </c>
      <c r="B134" s="5" t="inlineStr">
        <is>
          <t>Homelab</t>
        </is>
      </c>
      <c r="C134" s="5" t="inlineStr">
        <is>
          <t>Homelab Bubuk Coklat / Powder Chocolate - 50G</t>
        </is>
      </c>
      <c r="D134" s="6" t="inlineStr">
        <is>
          <t>1729668283027327556</t>
        </is>
      </c>
      <c r="E134" s="4" t="n">
        <v>50</v>
      </c>
      <c r="F134" s="5" t="inlineStr">
        <is>
          <t>Tidak tertera</t>
        </is>
      </c>
      <c r="G134" s="7" t="n">
        <v>12045</v>
      </c>
      <c r="H134" s="7">
        <f>IF(OR($E134="—",$G134="—"),"—",ROUND($G134/$E134,0))</f>
        <v/>
      </c>
      <c r="I134" s="8" t="n">
        <v>132491</v>
      </c>
      <c r="J134" s="7" t="n">
        <v>11</v>
      </c>
      <c r="K134" s="5" t="inlineStr">
        <is>
          <t>Chocolate</t>
        </is>
      </c>
      <c r="L134" s="5" t="inlineStr">
        <is>
          <t>—</t>
        </is>
      </c>
      <c r="M134" s="4" t="inlineStr">
        <is>
          <t>—</t>
        </is>
      </c>
    </row>
    <row r="135">
      <c r="A135" s="4" t="n">
        <v>131</v>
      </c>
      <c r="B135" s="5" t="inlineStr">
        <is>
          <t>Homelab</t>
        </is>
      </c>
      <c r="C135" s="5" t="inlineStr">
        <is>
          <t>Tea Cloth / Tea Towel - Homelab Serbet Teh / Kain Teh / Kain Lap Matcha</t>
        </is>
      </c>
      <c r="D135" s="6" t="inlineStr">
        <is>
          <t>1731340291259598404</t>
        </is>
      </c>
      <c r="E135" s="4" t="inlineStr">
        <is>
          <t>—</t>
        </is>
      </c>
      <c r="F135" s="5" t="inlineStr">
        <is>
          <t>Tidak tertera</t>
        </is>
      </c>
      <c r="G135" s="7" t="n">
        <v>31890</v>
      </c>
      <c r="H135" s="7">
        <f>IF(OR($E135="—",$G135="—"),"—",ROUND($G135/$E135,0))</f>
        <v/>
      </c>
      <c r="I135" s="8" t="n">
        <v>127560</v>
      </c>
      <c r="J135" s="7" t="n">
        <v>4</v>
      </c>
      <c r="K135" s="5" t="inlineStr">
        <is>
          <t>Alat/Aksesori (non-minuman)</t>
        </is>
      </c>
      <c r="L135" s="5" t="inlineStr">
        <is>
          <t>—</t>
        </is>
      </c>
      <c r="M135" s="4" t="inlineStr">
        <is>
          <t>—</t>
        </is>
      </c>
    </row>
    <row r="136">
      <c r="A136" s="4" t="n">
        <v>132</v>
      </c>
      <c r="B136" s="5" t="inlineStr">
        <is>
          <t>Homelab</t>
        </is>
      </c>
      <c r="C136" s="5" t="inlineStr">
        <is>
          <t>Bubuk Minuman PANDAN LATTE - Premium Drink Powder 200g</t>
        </is>
      </c>
      <c r="D136" s="6" t="inlineStr">
        <is>
          <t>1729507700297534020</t>
        </is>
      </c>
      <c r="E136" s="4" t="n">
        <v>200</v>
      </c>
      <c r="F136" s="5" t="inlineStr">
        <is>
          <t>Tidak tertera</t>
        </is>
      </c>
      <c r="G136" s="7" t="n">
        <v>126137</v>
      </c>
      <c r="H136" s="7">
        <f>IF(OR($E136="—",$G136="—"),"—",ROUND($G136/$E136,0))</f>
        <v/>
      </c>
      <c r="I136" s="8" t="n">
        <v>126137</v>
      </c>
      <c r="J136" s="7" t="n">
        <v>1</v>
      </c>
      <c r="K136" s="5" t="inlineStr">
        <is>
          <t>Lainnya</t>
        </is>
      </c>
      <c r="L136" s="5" t="inlineStr">
        <is>
          <t>—</t>
        </is>
      </c>
      <c r="M136" s="4" t="inlineStr">
        <is>
          <t>—</t>
        </is>
      </c>
    </row>
    <row r="137">
      <c r="A137" s="4" t="n">
        <v>133</v>
      </c>
      <c r="B137" s="5" t="inlineStr">
        <is>
          <t>Homelab</t>
        </is>
      </c>
      <c r="C137" s="5" t="inlineStr">
        <is>
          <t>Homelab Precision Stainless Steel Measuring Scoop / Spoon\ | Coffee &amp; Matcha Dose Spoon 15ml / 30ml</t>
        </is>
      </c>
      <c r="D137" s="6" t="inlineStr">
        <is>
          <t>1734644611647047236</t>
        </is>
      </c>
      <c r="E137" s="4" t="inlineStr">
        <is>
          <t>—</t>
        </is>
      </c>
      <c r="F137" s="5" t="inlineStr">
        <is>
          <t>Tidak tertera</t>
        </is>
      </c>
      <c r="G137" s="7" t="n">
        <v>101830</v>
      </c>
      <c r="H137" s="7">
        <f>IF(OR($E137="—",$G137="—"),"—",ROUND($G137/$E137,0))</f>
        <v/>
      </c>
      <c r="I137" s="8" t="n">
        <v>101830</v>
      </c>
      <c r="J137" s="7" t="n">
        <v>1</v>
      </c>
      <c r="K137" s="5" t="inlineStr">
        <is>
          <t>Alat/Aksesori (non-minuman)</t>
        </is>
      </c>
      <c r="L137" s="5" t="inlineStr">
        <is>
          <t>—</t>
        </is>
      </c>
      <c r="M137" s="4" t="inlineStr">
        <is>
          <t>—</t>
        </is>
      </c>
    </row>
    <row r="138">
      <c r="A138" s="4" t="n">
        <v>134</v>
      </c>
      <c r="B138" s="5" t="inlineStr">
        <is>
          <t>Homelab</t>
        </is>
      </c>
      <c r="C138" s="5" t="inlineStr">
        <is>
          <t>Bubuk Minuman BANANA LATTE - Premium Drink Powder 200g</t>
        </is>
      </c>
      <c r="D138" s="6" t="inlineStr">
        <is>
          <t>1729507696959785540</t>
        </is>
      </c>
      <c r="E138" s="4" t="n">
        <v>200</v>
      </c>
      <c r="F138" s="5" t="inlineStr">
        <is>
          <t>Tidak tertera</t>
        </is>
      </c>
      <c r="G138" s="7" t="n">
        <v>89501</v>
      </c>
      <c r="H138" s="7">
        <f>IF(OR($E138="—",$G138="—"),"—",ROUND($G138/$E138,0))</f>
        <v/>
      </c>
      <c r="I138" s="8" t="n">
        <v>89501</v>
      </c>
      <c r="J138" s="7" t="n">
        <v>1</v>
      </c>
      <c r="K138" s="5" t="inlineStr">
        <is>
          <t>Lainnya</t>
        </is>
      </c>
      <c r="L138" s="5" t="inlineStr">
        <is>
          <t>—</t>
        </is>
      </c>
      <c r="M138" s="4" t="inlineStr">
        <is>
          <t>—</t>
        </is>
      </c>
    </row>
    <row r="139">
      <c r="A139" s="4" t="n">
        <v>135</v>
      </c>
      <c r="B139" s="5" t="inlineStr">
        <is>
          <t>Homelab</t>
        </is>
      </c>
      <c r="C139" s="5" t="inlineStr">
        <is>
          <t>Bubuk Minuman RED VELVET LATTE Premium Powder 200g</t>
        </is>
      </c>
      <c r="D139" s="6" t="inlineStr">
        <is>
          <t>1731183877741053508</t>
        </is>
      </c>
      <c r="E139" s="4" t="n">
        <v>200</v>
      </c>
      <c r="F139" s="5" t="inlineStr">
        <is>
          <t>Tidak tertera</t>
        </is>
      </c>
      <c r="G139" s="7" t="n">
        <v>70252</v>
      </c>
      <c r="H139" s="7">
        <f>IF(OR($E139="—",$G139="—"),"—",ROUND($G139/$E139,0))</f>
        <v/>
      </c>
      <c r="I139" s="8" t="n">
        <v>70252</v>
      </c>
      <c r="J139" s="7" t="n">
        <v>1</v>
      </c>
      <c r="K139" s="5" t="inlineStr">
        <is>
          <t>Lainnya</t>
        </is>
      </c>
      <c r="L139" s="5" t="inlineStr">
        <is>
          <t>—</t>
        </is>
      </c>
      <c r="M139" s="4" t="inlineStr">
        <is>
          <t>—</t>
        </is>
      </c>
    </row>
    <row r="140">
      <c r="A140" s="4" t="n">
        <v>136</v>
      </c>
      <c r="B140" s="5" t="inlineStr">
        <is>
          <t>Homelab</t>
        </is>
      </c>
      <c r="C140" s="5" t="inlineStr">
        <is>
          <t>Homelab Matcha Sifter dengan Dudukan \ | Saringan Matcha Stainless Steel</t>
        </is>
      </c>
      <c r="D140" s="6" t="inlineStr">
        <is>
          <t>1734440279996073540</t>
        </is>
      </c>
      <c r="E140" s="4" t="inlineStr">
        <is>
          <t>—</t>
        </is>
      </c>
      <c r="F140" s="5" t="inlineStr">
        <is>
          <t>Tidak tertera</t>
        </is>
      </c>
      <c r="G140" s="7" t="n">
        <v>62664</v>
      </c>
      <c r="H140" s="7">
        <f>IF(OR($E140="—",$G140="—"),"—",ROUND($G140/$E140,0))</f>
        <v/>
      </c>
      <c r="I140" s="8" t="n">
        <v>62664</v>
      </c>
      <c r="J140" s="7" t="n">
        <v>1</v>
      </c>
      <c r="K140" s="5" t="inlineStr">
        <is>
          <t>Alat/Aksesori (non-minuman)</t>
        </is>
      </c>
      <c r="L140" s="5" t="inlineStr">
        <is>
          <t>—</t>
        </is>
      </c>
      <c r="M140" s="4" t="inlineStr">
        <is>
          <t>—</t>
        </is>
      </c>
    </row>
    <row r="141">
      <c r="A141" s="4" t="n">
        <v>137</v>
      </c>
      <c r="B141" s="5" t="inlineStr">
        <is>
          <t>Matchamu</t>
        </is>
      </c>
      <c r="C141" s="5" t="inlineStr">
        <is>
          <t>Matchamu Kana Ceremonial Matcha Powder 500gr</t>
        </is>
      </c>
      <c r="D141" s="6" t="inlineStr">
        <is>
          <t>1735899549646751344</t>
        </is>
      </c>
      <c r="E141" s="4" t="n">
        <v>500</v>
      </c>
      <c r="F141" s="5" t="inlineStr">
        <is>
          <t>Tidak tertera</t>
        </is>
      </c>
      <c r="G141" s="7" t="n">
        <v>1421165</v>
      </c>
      <c r="H141" s="7">
        <f>IF(OR($E141="—",$G141="—"),"—",ROUND($G141/$E141,0))</f>
        <v/>
      </c>
      <c r="I141" s="8" t="n">
        <v>203226617</v>
      </c>
      <c r="J141" s="7" t="n">
        <v>143</v>
      </c>
      <c r="K141" s="5" t="inlineStr">
        <is>
          <t>Matcha</t>
        </is>
      </c>
      <c r="L141" s="5" t="inlineStr">
        <is>
          <t>Ceremonial</t>
        </is>
      </c>
      <c r="M141" s="9" t="n">
        <v>1</v>
      </c>
    </row>
    <row r="142">
      <c r="A142" s="4" t="n">
        <v>138</v>
      </c>
      <c r="B142" s="5" t="inlineStr">
        <is>
          <t>Matchamu</t>
        </is>
      </c>
      <c r="C142" s="5" t="inlineStr">
        <is>
          <t>Matchamu Matcha Powder Kana Ceremonial Grade Tincan 40gr</t>
        </is>
      </c>
      <c r="D142" s="6" t="inlineStr">
        <is>
          <t>1730510040493033072</t>
        </is>
      </c>
      <c r="E142" s="4" t="n">
        <v>40</v>
      </c>
      <c r="F142" s="5" t="inlineStr">
        <is>
          <t>Tin Can</t>
        </is>
      </c>
      <c r="G142" s="7" t="n">
        <v>217734</v>
      </c>
      <c r="H142" s="7">
        <f>IF(OR($E142="—",$G142="—"),"—",ROUND($G142/$E142,0))</f>
        <v/>
      </c>
      <c r="I142" s="8" t="n">
        <v>47683664</v>
      </c>
      <c r="J142" s="7" t="n">
        <v>219</v>
      </c>
      <c r="K142" s="5" t="inlineStr">
        <is>
          <t>Matcha</t>
        </is>
      </c>
      <c r="L142" s="5" t="inlineStr">
        <is>
          <t>Ceremonial</t>
        </is>
      </c>
      <c r="M142" s="9" t="n">
        <v>1</v>
      </c>
    </row>
    <row r="143">
      <c r="A143" s="4" t="n">
        <v>139</v>
      </c>
      <c r="B143" s="5" t="inlineStr">
        <is>
          <t>Matchamu</t>
        </is>
      </c>
      <c r="C143" s="5" t="inlineStr">
        <is>
          <t>Matchamu Matcha Pure Powder 1kg</t>
        </is>
      </c>
      <c r="D143" s="6" t="inlineStr">
        <is>
          <t>1730966728292664944</t>
        </is>
      </c>
      <c r="E143" s="4" t="n">
        <v>1000</v>
      </c>
      <c r="F143" s="5" t="inlineStr">
        <is>
          <t>Tidak tertera</t>
        </is>
      </c>
      <c r="G143" s="7" t="n">
        <v>885450</v>
      </c>
      <c r="H143" s="7">
        <f>IF(OR($E143="—",$G143="—"),"—",ROUND($G143/$E143,0))</f>
        <v/>
      </c>
      <c r="I143" s="8" t="n">
        <v>46043403</v>
      </c>
      <c r="J143" s="7" t="n">
        <v>52</v>
      </c>
      <c r="K143" s="5" t="inlineStr">
        <is>
          <t>Matcha</t>
        </is>
      </c>
      <c r="L143" s="5" t="inlineStr">
        <is>
          <t>Grade tidak disebut</t>
        </is>
      </c>
      <c r="M143" s="10" t="n">
        <v>4</v>
      </c>
    </row>
    <row r="144">
      <c r="A144" s="4" t="n">
        <v>140</v>
      </c>
      <c r="B144" s="5" t="inlineStr">
        <is>
          <t>Matchamu</t>
        </is>
      </c>
      <c r="C144" s="5" t="inlineStr">
        <is>
          <t>Matchamu Matcha Powder 100gr</t>
        </is>
      </c>
      <c r="D144" s="6" t="inlineStr">
        <is>
          <t>1729615209575975536</t>
        </is>
      </c>
      <c r="E144" s="4" t="n">
        <v>100</v>
      </c>
      <c r="F144" s="5" t="inlineStr">
        <is>
          <t>Tidak tertera</t>
        </is>
      </c>
      <c r="G144" s="7" t="n">
        <v>85257</v>
      </c>
      <c r="H144" s="7">
        <f>IF(OR($E144="—",$G144="—"),"—",ROUND($G144/$E144,0))</f>
        <v/>
      </c>
      <c r="I144" s="8" t="n">
        <v>44077877</v>
      </c>
      <c r="J144" s="7" t="n">
        <v>517</v>
      </c>
      <c r="K144" s="5" t="inlineStr">
        <is>
          <t>Matcha</t>
        </is>
      </c>
      <c r="L144" s="5" t="inlineStr">
        <is>
          <t>Grade tidak disebut</t>
        </is>
      </c>
      <c r="M144" s="10" t="n">
        <v>4</v>
      </c>
    </row>
    <row r="145">
      <c r="A145" s="4" t="n">
        <v>141</v>
      </c>
      <c r="B145" s="5" t="inlineStr">
        <is>
          <t>Matchamu</t>
        </is>
      </c>
      <c r="C145" s="5" t="inlineStr">
        <is>
          <t>Matchamu Matcha Pure Powder 50gr</t>
        </is>
      </c>
      <c r="D145" s="6" t="inlineStr">
        <is>
          <t>1730348034724759152</t>
        </is>
      </c>
      <c r="E145" s="4" t="n">
        <v>50</v>
      </c>
      <c r="F145" s="5" t="inlineStr">
        <is>
          <t>Tidak tertera</t>
        </is>
      </c>
      <c r="G145" s="7" t="n">
        <v>19181</v>
      </c>
      <c r="H145" s="7">
        <f>IF(OR($E145="—",$G145="—"),"—",ROUND($G145/$E145,0))</f>
        <v/>
      </c>
      <c r="I145" s="8" t="n">
        <v>13445844</v>
      </c>
      <c r="J145" s="7" t="n">
        <v>701</v>
      </c>
      <c r="K145" s="5" t="inlineStr">
        <is>
          <t>Matcha</t>
        </is>
      </c>
      <c r="L145" s="5" t="inlineStr">
        <is>
          <t>Grade tidak disebut</t>
        </is>
      </c>
      <c r="M145" s="10" t="n">
        <v>4</v>
      </c>
    </row>
    <row r="146">
      <c r="A146" s="4" t="n">
        <v>142</v>
      </c>
      <c r="B146" s="5" t="inlineStr">
        <is>
          <t>Matchamu</t>
        </is>
      </c>
      <c r="C146" s="5" t="inlineStr">
        <is>
          <t>Matchamu Matcha First Harvest Series</t>
        </is>
      </c>
      <c r="D146" s="6" t="inlineStr">
        <is>
          <t>1734411130373834352</t>
        </is>
      </c>
      <c r="E146" s="4" t="inlineStr">
        <is>
          <t>—</t>
        </is>
      </c>
      <c r="F146" s="5" t="inlineStr">
        <is>
          <t>Tidak tertera</t>
        </is>
      </c>
      <c r="G146" s="7" t="n">
        <v>57783</v>
      </c>
      <c r="H146" s="7">
        <f>IF(OR($E146="—",$G146="—"),"—",ROUND($G146/$E146,0))</f>
        <v/>
      </c>
      <c r="I146" s="8" t="n">
        <v>13058950</v>
      </c>
      <c r="J146" s="7" t="n">
        <v>226</v>
      </c>
      <c r="K146" s="5" t="inlineStr">
        <is>
          <t>Matcha</t>
        </is>
      </c>
      <c r="L146" s="5" t="inlineStr">
        <is>
          <t>First Harvest (premium)</t>
        </is>
      </c>
      <c r="M146" s="9" t="n">
        <v>1</v>
      </c>
    </row>
    <row r="147">
      <c r="A147" s="4" t="n">
        <v>143</v>
      </c>
      <c r="B147" s="5" t="inlineStr">
        <is>
          <t>Matchamu</t>
        </is>
      </c>
      <c r="C147" s="5" t="inlineStr">
        <is>
          <t>Matchamu Matcha Powder Komorebi</t>
        </is>
      </c>
      <c r="D147" s="6" t="inlineStr">
        <is>
          <t>1729782239773623920</t>
        </is>
      </c>
      <c r="E147" s="4" t="inlineStr">
        <is>
          <t>—</t>
        </is>
      </c>
      <c r="F147" s="5" t="inlineStr">
        <is>
          <t>Tidak tertera</t>
        </is>
      </c>
      <c r="G147" s="7" t="n">
        <v>29055</v>
      </c>
      <c r="H147" s="7">
        <f>IF(OR($E147="—",$G147="—"),"—",ROUND($G147/$E147,0))</f>
        <v/>
      </c>
      <c r="I147" s="8" t="n">
        <v>12551606</v>
      </c>
      <c r="J147" s="7" t="n">
        <v>432</v>
      </c>
      <c r="K147" s="5" t="inlineStr">
        <is>
          <t>Matcha</t>
        </is>
      </c>
      <c r="L147" s="5" t="inlineStr">
        <is>
          <t>Grade tidak disebut</t>
        </is>
      </c>
      <c r="M147" s="10" t="n">
        <v>4</v>
      </c>
    </row>
    <row r="148">
      <c r="A148" s="4" t="n">
        <v>144</v>
      </c>
      <c r="B148" s="5" t="inlineStr">
        <is>
          <t>Matchamu</t>
        </is>
      </c>
      <c r="C148" s="5" t="inlineStr">
        <is>
          <t>Matchamu Matcha Pure Powder 500gr</t>
        </is>
      </c>
      <c r="D148" s="6" t="inlineStr">
        <is>
          <t>1730966734920648304</t>
        </is>
      </c>
      <c r="E148" s="4" t="n">
        <v>500</v>
      </c>
      <c r="F148" s="5" t="inlineStr">
        <is>
          <t>Tidak tertera</t>
        </is>
      </c>
      <c r="G148" s="7" t="n">
        <v>437493</v>
      </c>
      <c r="H148" s="7">
        <f>IF(OR($E148="—",$G148="—"),"—",ROUND($G148/$E148,0))</f>
        <v/>
      </c>
      <c r="I148" s="8" t="n">
        <v>11374810</v>
      </c>
      <c r="J148" s="7" t="n">
        <v>26</v>
      </c>
      <c r="K148" s="5" t="inlineStr">
        <is>
          <t>Matcha</t>
        </is>
      </c>
      <c r="L148" s="5" t="inlineStr">
        <is>
          <t>Grade tidak disebut</t>
        </is>
      </c>
      <c r="M148" s="10" t="n">
        <v>4</v>
      </c>
    </row>
    <row r="149">
      <c r="A149" s="4" t="n">
        <v>145</v>
      </c>
      <c r="B149" s="5" t="inlineStr">
        <is>
          <t>Matchamu</t>
        </is>
      </c>
      <c r="C149" s="5" t="inlineStr">
        <is>
          <t>Matchamu Matcha Powder 250gr</t>
        </is>
      </c>
      <c r="D149" s="6" t="inlineStr">
        <is>
          <t>1730966727332365936</t>
        </is>
      </c>
      <c r="E149" s="4" t="n">
        <v>250</v>
      </c>
      <c r="F149" s="5" t="inlineStr">
        <is>
          <t>Tidak tertera</t>
        </is>
      </c>
      <c r="G149" s="7" t="n">
        <v>218272</v>
      </c>
      <c r="H149" s="7">
        <f>IF(OR($E149="—",$G149="—"),"—",ROUND($G149/$E149,0))</f>
        <v/>
      </c>
      <c r="I149" s="8" t="n">
        <v>11350164</v>
      </c>
      <c r="J149" s="7" t="n">
        <v>52</v>
      </c>
      <c r="K149" s="5" t="inlineStr">
        <is>
          <t>Matcha</t>
        </is>
      </c>
      <c r="L149" s="5" t="inlineStr">
        <is>
          <t>Grade tidak disebut</t>
        </is>
      </c>
      <c r="M149" s="10" t="n">
        <v>4</v>
      </c>
    </row>
    <row r="150">
      <c r="A150" s="4" t="n">
        <v>146</v>
      </c>
      <c r="B150" s="5" t="inlineStr">
        <is>
          <t>Matchamu</t>
        </is>
      </c>
      <c r="C150" s="5" t="inlineStr">
        <is>
          <t>Matchamu Komorebi Matcha Powder 500gr</t>
        </is>
      </c>
      <c r="D150" s="6" t="inlineStr">
        <is>
          <t>1735899608324408944</t>
        </is>
      </c>
      <c r="E150" s="4" t="n">
        <v>500</v>
      </c>
      <c r="F150" s="5" t="inlineStr">
        <is>
          <t>Tidak tertera</t>
        </is>
      </c>
      <c r="G150" s="7" t="n">
        <v>690604</v>
      </c>
      <c r="H150" s="7">
        <f>IF(OR($E150="—",$G150="—"),"—",ROUND($G150/$E150,0))</f>
        <v/>
      </c>
      <c r="I150" s="8" t="n">
        <v>11049666</v>
      </c>
      <c r="J150" s="7" t="n">
        <v>16</v>
      </c>
      <c r="K150" s="5" t="inlineStr">
        <is>
          <t>Matcha</t>
        </is>
      </c>
      <c r="L150" s="5" t="inlineStr">
        <is>
          <t>Grade tidak disebut</t>
        </is>
      </c>
      <c r="M150" s="10" t="n">
        <v>4</v>
      </c>
    </row>
    <row r="151">
      <c r="A151" s="4" t="n">
        <v>147</v>
      </c>
      <c r="B151" s="5" t="inlineStr">
        <is>
          <t>Matchamu</t>
        </is>
      </c>
      <c r="C151" s="5" t="inlineStr">
        <is>
          <t>Matchamu Matcha Kana Ceremonia Powder</t>
        </is>
      </c>
      <c r="D151" s="6" t="inlineStr">
        <is>
          <t>1729782262463891056</t>
        </is>
      </c>
      <c r="E151" s="4" t="inlineStr">
        <is>
          <t>—</t>
        </is>
      </c>
      <c r="F151" s="5" t="inlineStr">
        <is>
          <t>Tidak tertera</t>
        </is>
      </c>
      <c r="G151" s="7" t="n">
        <v>75408</v>
      </c>
      <c r="H151" s="7">
        <f>IF(OR($E151="—",$G151="—"),"—",ROUND($G151/$E151,0))</f>
        <v/>
      </c>
      <c r="I151" s="8" t="n">
        <v>8973541</v>
      </c>
      <c r="J151" s="7" t="n">
        <v>119</v>
      </c>
      <c r="K151" s="5" t="inlineStr">
        <is>
          <t>Matcha</t>
        </is>
      </c>
      <c r="L151" s="5" t="inlineStr">
        <is>
          <t>Grade tidak disebut</t>
        </is>
      </c>
      <c r="M151" s="10" t="n">
        <v>4</v>
      </c>
    </row>
    <row r="152">
      <c r="A152" s="4" t="n">
        <v>148</v>
      </c>
      <c r="B152" s="5" t="inlineStr">
        <is>
          <t>Matchamu</t>
        </is>
      </c>
      <c r="C152" s="5" t="inlineStr">
        <is>
          <t>Matchamu 3 box/ 9 sachet Matcha Latte</t>
        </is>
      </c>
      <c r="D152" s="6" t="inlineStr">
        <is>
          <t>1729429992703494768</t>
        </is>
      </c>
      <c r="E152" s="4" t="inlineStr">
        <is>
          <t>—</t>
        </is>
      </c>
      <c r="F152" s="5" t="inlineStr">
        <is>
          <t>Sachet/Box</t>
        </is>
      </c>
      <c r="G152" s="7" t="n">
        <v>35727</v>
      </c>
      <c r="H152" s="7">
        <f>IF(OR($E152="—",$G152="—"),"—",ROUND($G152/$E152,0))</f>
        <v/>
      </c>
      <c r="I152" s="8" t="n">
        <v>8753121</v>
      </c>
      <c r="J152" s="7" t="n">
        <v>245</v>
      </c>
      <c r="K152" s="5" t="inlineStr">
        <is>
          <t>Matcha</t>
        </is>
      </c>
      <c r="L152" s="5" t="inlineStr">
        <is>
          <t>Culinary/Latte</t>
        </is>
      </c>
      <c r="M152" s="11" t="n">
        <v>3</v>
      </c>
    </row>
    <row r="153">
      <c r="A153" s="4" t="n">
        <v>149</v>
      </c>
      <c r="B153" s="5" t="inlineStr">
        <is>
          <t>Matchamu</t>
        </is>
      </c>
      <c r="C153" s="5" t="inlineStr">
        <is>
          <t>Matchamu Matcha Powder Pouch 50gr</t>
        </is>
      </c>
      <c r="D153" s="6" t="inlineStr">
        <is>
          <t>1729637539237956208</t>
        </is>
      </c>
      <c r="E153" s="4" t="n">
        <v>50</v>
      </c>
      <c r="F153" s="5" t="inlineStr">
        <is>
          <t>Pouch</t>
        </is>
      </c>
      <c r="G153" s="7" t="n">
        <v>38030</v>
      </c>
      <c r="H153" s="7">
        <f>IF(OR($E153="—",$G153="—"),"—",ROUND($G153/$E153,0))</f>
        <v/>
      </c>
      <c r="I153" s="8" t="n">
        <v>8062448</v>
      </c>
      <c r="J153" s="7" t="n">
        <v>212</v>
      </c>
      <c r="K153" s="5" t="inlineStr">
        <is>
          <t>Matcha</t>
        </is>
      </c>
      <c r="L153" s="5" t="inlineStr">
        <is>
          <t>Grade tidak disebut</t>
        </is>
      </c>
      <c r="M153" s="10" t="n">
        <v>4</v>
      </c>
    </row>
    <row r="154">
      <c r="A154" s="4" t="n">
        <v>150</v>
      </c>
      <c r="B154" s="5" t="inlineStr">
        <is>
          <t>Matchamu</t>
        </is>
      </c>
      <c r="C154" s="5" t="inlineStr">
        <is>
          <t>Matchamu Sakura Latte Powder 1kg</t>
        </is>
      </c>
      <c r="D154" s="6" t="inlineStr">
        <is>
          <t>1730966729878832752</t>
        </is>
      </c>
      <c r="E154" s="4" t="n">
        <v>1000</v>
      </c>
      <c r="F154" s="5" t="inlineStr">
        <is>
          <t>Tidak tertera</t>
        </is>
      </c>
      <c r="G154" s="7" t="n">
        <v>136597</v>
      </c>
      <c r="H154" s="7">
        <f>IF(OR($E154="—",$G154="—"),"—",ROUND($G154/$E154,0))</f>
        <v/>
      </c>
      <c r="I154" s="8" t="n">
        <v>7786004</v>
      </c>
      <c r="J154" s="7" t="n">
        <v>57</v>
      </c>
      <c r="K154" s="5" t="inlineStr">
        <is>
          <t>Sakura</t>
        </is>
      </c>
      <c r="L154" s="5" t="inlineStr">
        <is>
          <t>—</t>
        </is>
      </c>
      <c r="M154" s="4" t="inlineStr">
        <is>
          <t>—</t>
        </is>
      </c>
    </row>
    <row r="155">
      <c r="A155" s="4" t="n">
        <v>151</v>
      </c>
      <c r="B155" s="5" t="inlineStr">
        <is>
          <t>Matchamu</t>
        </is>
      </c>
      <c r="C155" s="5" t="inlineStr">
        <is>
          <t>Matchamu Matcha Powder Jar 100gram</t>
        </is>
      </c>
      <c r="D155" s="6" t="inlineStr">
        <is>
          <t>1729420495198325360</t>
        </is>
      </c>
      <c r="E155" s="4" t="n">
        <v>100</v>
      </c>
      <c r="F155" s="5" t="inlineStr">
        <is>
          <t>Jar</t>
        </is>
      </c>
      <c r="G155" s="7" t="n">
        <v>106780</v>
      </c>
      <c r="H155" s="7">
        <f>IF(OR($E155="—",$G155="—"),"—",ROUND($G155/$E155,0))</f>
        <v/>
      </c>
      <c r="I155" s="8" t="n">
        <v>6940698</v>
      </c>
      <c r="J155" s="7" t="n">
        <v>65</v>
      </c>
      <c r="K155" s="5" t="inlineStr">
        <is>
          <t>Matcha</t>
        </is>
      </c>
      <c r="L155" s="5" t="inlineStr">
        <is>
          <t>Grade tidak disebut</t>
        </is>
      </c>
      <c r="M155" s="10" t="n">
        <v>4</v>
      </c>
    </row>
    <row r="156">
      <c r="A156" s="4" t="n">
        <v>152</v>
      </c>
      <c r="B156" s="5" t="inlineStr">
        <is>
          <t>Matchamu</t>
        </is>
      </c>
      <c r="C156" s="5" t="inlineStr">
        <is>
          <t>Matchamu Bubuk Taro Latte 1kg</t>
        </is>
      </c>
      <c r="D156" s="6" t="inlineStr">
        <is>
          <t>1730348027606304368</t>
        </is>
      </c>
      <c r="E156" s="4" t="n">
        <v>1000</v>
      </c>
      <c r="F156" s="5" t="inlineStr">
        <is>
          <t>Tidak tertera</t>
        </is>
      </c>
      <c r="G156" s="7" t="n">
        <v>247859</v>
      </c>
      <c r="H156" s="7">
        <f>IF(OR($E156="—",$G156="—"),"—",ROUND($G156/$E156,0))</f>
        <v/>
      </c>
      <c r="I156" s="8" t="n">
        <v>6940053</v>
      </c>
      <c r="J156" s="7" t="n">
        <v>28</v>
      </c>
      <c r="K156" s="5" t="inlineStr">
        <is>
          <t>Taro</t>
        </is>
      </c>
      <c r="L156" s="5" t="inlineStr">
        <is>
          <t>—</t>
        </is>
      </c>
      <c r="M156" s="4" t="inlineStr">
        <is>
          <t>—</t>
        </is>
      </c>
    </row>
    <row r="157">
      <c r="A157" s="4" t="n">
        <v>153</v>
      </c>
      <c r="B157" s="5" t="inlineStr">
        <is>
          <t>Matchamu</t>
        </is>
      </c>
      <c r="C157" s="5" t="inlineStr">
        <is>
          <t>Matchamu Matcha Latte (1 box isi 20 sachet) - Minuman Bubuk Premium Matcha Latte Asli Jepang - Organik</t>
        </is>
      </c>
      <c r="D157" s="6" t="inlineStr">
        <is>
          <t>1729420327675464304</t>
        </is>
      </c>
      <c r="E157" s="4" t="inlineStr">
        <is>
          <t>—</t>
        </is>
      </c>
      <c r="F157" s="5" t="inlineStr">
        <is>
          <t>Sachet/Box</t>
        </is>
      </c>
      <c r="G157" s="7" t="n">
        <v>32776</v>
      </c>
      <c r="H157" s="7">
        <f>IF(OR($E157="—",$G157="—"),"—",ROUND($G157/$E157,0))</f>
        <v/>
      </c>
      <c r="I157" s="8" t="n">
        <v>6915784</v>
      </c>
      <c r="J157" s="7" t="n">
        <v>211</v>
      </c>
      <c r="K157" s="5" t="inlineStr">
        <is>
          <t>Matcha</t>
        </is>
      </c>
      <c r="L157" s="5" t="inlineStr">
        <is>
          <t>Premium</t>
        </is>
      </c>
      <c r="M157" s="12" t="n">
        <v>2</v>
      </c>
    </row>
    <row r="158">
      <c r="A158" s="4" t="n">
        <v>154</v>
      </c>
      <c r="B158" s="5" t="inlineStr">
        <is>
          <t>Matchamu</t>
        </is>
      </c>
      <c r="C158" s="5" t="inlineStr">
        <is>
          <t>Matchamu Kyogetsu Ceremonial Matcha Powder</t>
        </is>
      </c>
      <c r="D158" s="6" t="inlineStr">
        <is>
          <t>1733205680125019760</t>
        </is>
      </c>
      <c r="E158" s="4" t="inlineStr">
        <is>
          <t>—</t>
        </is>
      </c>
      <c r="F158" s="5" t="inlineStr">
        <is>
          <t>Tidak tertera</t>
        </is>
      </c>
      <c r="G158" s="7" t="n">
        <v>65616</v>
      </c>
      <c r="H158" s="7">
        <f>IF(OR($E158="—",$G158="—"),"—",ROUND($G158/$E158,0))</f>
        <v/>
      </c>
      <c r="I158" s="8" t="n">
        <v>6364748</v>
      </c>
      <c r="J158" s="7" t="n">
        <v>97</v>
      </c>
      <c r="K158" s="5" t="inlineStr">
        <is>
          <t>Matcha</t>
        </is>
      </c>
      <c r="L158" s="5" t="inlineStr">
        <is>
          <t>Ceremonial</t>
        </is>
      </c>
      <c r="M158" s="9" t="n">
        <v>1</v>
      </c>
    </row>
    <row r="159">
      <c r="A159" s="4" t="n">
        <v>155</v>
      </c>
      <c r="B159" s="5" t="inlineStr">
        <is>
          <t>Matchamu</t>
        </is>
      </c>
      <c r="C159" s="5" t="inlineStr">
        <is>
          <t>Matchamu Bundle Matcha Powder 50gr 4pcs</t>
        </is>
      </c>
      <c r="D159" s="6" t="inlineStr">
        <is>
          <t>1734979455475615344</t>
        </is>
      </c>
      <c r="E159" s="4" t="n">
        <v>50</v>
      </c>
      <c r="F159" s="5" t="inlineStr">
        <is>
          <t>Tidak tertera</t>
        </is>
      </c>
      <c r="G159" s="7" t="n">
        <v>176142</v>
      </c>
      <c r="H159" s="7">
        <f>IF(OR($E159="—",$G159="—"),"—",ROUND($G159/$E159,0))</f>
        <v/>
      </c>
      <c r="I159" s="8" t="n">
        <v>6164964</v>
      </c>
      <c r="J159" s="7" t="n">
        <v>35</v>
      </c>
      <c r="K159" s="5" t="inlineStr">
        <is>
          <t>Matcha</t>
        </is>
      </c>
      <c r="L159" s="5" t="inlineStr">
        <is>
          <t>Grade tidak disebut</t>
        </is>
      </c>
      <c r="M159" s="10" t="n">
        <v>4</v>
      </c>
    </row>
    <row r="160">
      <c r="A160" s="4" t="n">
        <v>156</v>
      </c>
      <c r="B160" s="5" t="inlineStr">
        <is>
          <t>Matchamu</t>
        </is>
      </c>
      <c r="C160" s="5" t="inlineStr">
        <is>
          <t>Matchamu Matcha Kana Powder 15gr</t>
        </is>
      </c>
      <c r="D160" s="6" t="inlineStr">
        <is>
          <t>1729988591387904624</t>
        </is>
      </c>
      <c r="E160" s="4" t="n">
        <v>15</v>
      </c>
      <c r="F160" s="5" t="inlineStr">
        <is>
          <t>Tidak tertera</t>
        </is>
      </c>
      <c r="G160" s="7" t="n">
        <v>61225</v>
      </c>
      <c r="H160" s="7">
        <f>IF(OR($E160="—",$G160="—"),"—",ROUND($G160/$E160,0))</f>
        <v/>
      </c>
      <c r="I160" s="8" t="n">
        <v>5571488</v>
      </c>
      <c r="J160" s="7" t="n">
        <v>91</v>
      </c>
      <c r="K160" s="5" t="inlineStr">
        <is>
          <t>Matcha</t>
        </is>
      </c>
      <c r="L160" s="5" t="inlineStr">
        <is>
          <t>Grade tidak disebut</t>
        </is>
      </c>
      <c r="M160" s="10" t="n">
        <v>4</v>
      </c>
    </row>
    <row r="161">
      <c r="A161" s="4" t="n">
        <v>157</v>
      </c>
      <c r="B161" s="5" t="inlineStr">
        <is>
          <t>Matchamu</t>
        </is>
      </c>
      <c r="C161" s="5" t="inlineStr">
        <is>
          <t>Matchamu Sakura Latte 500gr</t>
        </is>
      </c>
      <c r="D161" s="6" t="inlineStr">
        <is>
          <t>1730966727418611312</t>
        </is>
      </c>
      <c r="E161" s="4" t="n">
        <v>500</v>
      </c>
      <c r="F161" s="5" t="inlineStr">
        <is>
          <t>Tidak tertera</t>
        </is>
      </c>
      <c r="G161" s="7" t="n">
        <v>81360</v>
      </c>
      <c r="H161" s="7">
        <f>IF(OR($E161="—",$G161="—"),"—",ROUND($G161/$E161,0))</f>
        <v/>
      </c>
      <c r="I161" s="8" t="n">
        <v>5369783</v>
      </c>
      <c r="J161" s="7" t="n">
        <v>66</v>
      </c>
      <c r="K161" s="5" t="inlineStr">
        <is>
          <t>Sakura</t>
        </is>
      </c>
      <c r="L161" s="5" t="inlineStr">
        <is>
          <t>—</t>
        </is>
      </c>
      <c r="M161" s="4" t="inlineStr">
        <is>
          <t>—</t>
        </is>
      </c>
    </row>
    <row r="162">
      <c r="A162" s="4" t="n">
        <v>158</v>
      </c>
      <c r="B162" s="5" t="inlineStr">
        <is>
          <t>Matchamu</t>
        </is>
      </c>
      <c r="C162" s="5" t="inlineStr">
        <is>
          <t>Matchamu Matcha Powder Kamui Champion Grade</t>
        </is>
      </c>
      <c r="D162" s="6" t="inlineStr">
        <is>
          <t>1730509984478955120</t>
        </is>
      </c>
      <c r="E162" s="4" t="inlineStr">
        <is>
          <t>—</t>
        </is>
      </c>
      <c r="F162" s="5" t="inlineStr">
        <is>
          <t>Tidak tertera</t>
        </is>
      </c>
      <c r="G162" s="7" t="n">
        <v>88569</v>
      </c>
      <c r="H162" s="7">
        <f>IF(OR($E162="—",$G162="—"),"—",ROUND($G162/$E162,0))</f>
        <v/>
      </c>
      <c r="I162" s="8" t="n">
        <v>4517032</v>
      </c>
      <c r="J162" s="7" t="n">
        <v>51</v>
      </c>
      <c r="K162" s="5" t="inlineStr">
        <is>
          <t>Matcha</t>
        </is>
      </c>
      <c r="L162" s="5" t="inlineStr">
        <is>
          <t>Champion Grade (premium+)</t>
        </is>
      </c>
      <c r="M162" s="12" t="n">
        <v>2</v>
      </c>
    </row>
    <row r="163">
      <c r="A163" s="4" t="n">
        <v>159</v>
      </c>
      <c r="B163" s="5" t="inlineStr">
        <is>
          <t>Matchamu</t>
        </is>
      </c>
      <c r="C163" s="5" t="inlineStr">
        <is>
          <t>Matchamu Chai Latte 500gr</t>
        </is>
      </c>
      <c r="D163" s="6" t="inlineStr">
        <is>
          <t>1730966728817804912</t>
        </is>
      </c>
      <c r="E163" s="4" t="n">
        <v>500</v>
      </c>
      <c r="F163" s="5" t="inlineStr">
        <is>
          <t>Tidak tertera</t>
        </is>
      </c>
      <c r="G163" s="7" t="n">
        <v>64349</v>
      </c>
      <c r="H163" s="7">
        <f>IF(OR($E163="—",$G163="—"),"—",ROUND($G163/$E163,0))</f>
        <v/>
      </c>
      <c r="I163" s="8" t="n">
        <v>4053984</v>
      </c>
      <c r="J163" s="7" t="n">
        <v>63</v>
      </c>
      <c r="K163" s="5" t="inlineStr">
        <is>
          <t>Chai</t>
        </is>
      </c>
      <c r="L163" s="5" t="inlineStr">
        <is>
          <t>—</t>
        </is>
      </c>
      <c r="M163" s="4" t="inlineStr">
        <is>
          <t>—</t>
        </is>
      </c>
    </row>
    <row r="164">
      <c r="A164" s="4" t="n">
        <v>160</v>
      </c>
      <c r="B164" s="5" t="inlineStr">
        <is>
          <t>Matchamu</t>
        </is>
      </c>
      <c r="C164" s="5" t="inlineStr">
        <is>
          <t>Matchamu Sakura Latte Pouch 250gr</t>
        </is>
      </c>
      <c r="D164" s="6" t="inlineStr">
        <is>
          <t>1729420503132834416</t>
        </is>
      </c>
      <c r="E164" s="4" t="n">
        <v>250</v>
      </c>
      <c r="F164" s="5" t="inlineStr">
        <is>
          <t>Pouch</t>
        </is>
      </c>
      <c r="G164" s="7" t="n">
        <v>40886</v>
      </c>
      <c r="H164" s="7">
        <f>IF(OR($E164="—",$G164="—"),"—",ROUND($G164/$E164,0))</f>
        <v/>
      </c>
      <c r="I164" s="8" t="n">
        <v>3516237</v>
      </c>
      <c r="J164" s="7" t="n">
        <v>86</v>
      </c>
      <c r="K164" s="5" t="inlineStr">
        <is>
          <t>Sakura</t>
        </is>
      </c>
      <c r="L164" s="5" t="inlineStr">
        <is>
          <t>—</t>
        </is>
      </c>
      <c r="M164" s="4" t="inlineStr">
        <is>
          <t>—</t>
        </is>
      </c>
    </row>
    <row r="165">
      <c r="A165" s="4" t="n">
        <v>161</v>
      </c>
      <c r="B165" s="5" t="inlineStr">
        <is>
          <t>Matchamu</t>
        </is>
      </c>
      <c r="C165" s="5" t="inlineStr">
        <is>
          <t>Matchamu Bundling Matcha Kana Ceremonial 100gr + Matcha Komorebi 100gr</t>
        </is>
      </c>
      <c r="D165" s="6" t="inlineStr">
        <is>
          <t>1733826365459039856</t>
        </is>
      </c>
      <c r="E165" s="4" t="n">
        <v>100</v>
      </c>
      <c r="F165" s="5" t="inlineStr">
        <is>
          <t>Tidak tertera</t>
        </is>
      </c>
      <c r="G165" s="7" t="n">
        <v>414641</v>
      </c>
      <c r="H165" s="7">
        <f>IF(OR($E165="—",$G165="—"),"—",ROUND($G165/$E165,0))</f>
        <v/>
      </c>
      <c r="I165" s="8" t="n">
        <v>3317129</v>
      </c>
      <c r="J165" s="7" t="n">
        <v>8</v>
      </c>
      <c r="K165" s="5" t="inlineStr">
        <is>
          <t>Matcha</t>
        </is>
      </c>
      <c r="L165" s="5" t="inlineStr">
        <is>
          <t>Ceremonial</t>
        </is>
      </c>
      <c r="M165" s="9" t="n">
        <v>1</v>
      </c>
    </row>
    <row r="166">
      <c r="A166" s="4" t="n">
        <v>162</v>
      </c>
      <c r="B166" s="5" t="inlineStr">
        <is>
          <t>Matchamu</t>
        </is>
      </c>
      <c r="C166" s="5" t="inlineStr">
        <is>
          <t>Matchamu Matcha Komorebi Powder 100g</t>
        </is>
      </c>
      <c r="D166" s="6" t="inlineStr">
        <is>
          <t>1730348035517548144</t>
        </is>
      </c>
      <c r="E166" s="4" t="n">
        <v>100</v>
      </c>
      <c r="F166" s="5" t="inlineStr">
        <is>
          <t>Tidak tertera</t>
        </is>
      </c>
      <c r="G166" s="7" t="n">
        <v>141765</v>
      </c>
      <c r="H166" s="7">
        <f>IF(OR($E166="—",$G166="—"),"—",ROUND($G166/$E166,0))</f>
        <v/>
      </c>
      <c r="I166" s="8" t="n">
        <v>3260595</v>
      </c>
      <c r="J166" s="7" t="n">
        <v>23</v>
      </c>
      <c r="K166" s="5" t="inlineStr">
        <is>
          <t>Matcha</t>
        </is>
      </c>
      <c r="L166" s="5" t="inlineStr">
        <is>
          <t>Grade tidak disebut</t>
        </is>
      </c>
      <c r="M166" s="10" t="n">
        <v>4</v>
      </c>
    </row>
    <row r="167">
      <c r="A167" s="4" t="n">
        <v>163</v>
      </c>
      <c r="B167" s="5" t="inlineStr">
        <is>
          <t>Matchamu</t>
        </is>
      </c>
      <c r="C167" s="5" t="inlineStr">
        <is>
          <t>Matchamu Matcha Latte Powder 250gr</t>
        </is>
      </c>
      <c r="D167" s="6" t="inlineStr">
        <is>
          <t>1729420501594770032</t>
        </is>
      </c>
      <c r="E167" s="4" t="n">
        <v>250</v>
      </c>
      <c r="F167" s="5" t="inlineStr">
        <is>
          <t>Tidak tertera</t>
        </is>
      </c>
      <c r="G167" s="7" t="n">
        <v>66168</v>
      </c>
      <c r="H167" s="7">
        <f>IF(OR($E167="—",$G167="—"),"—",ROUND($G167/$E167,0))</f>
        <v/>
      </c>
      <c r="I167" s="8" t="n">
        <v>2845226</v>
      </c>
      <c r="J167" s="7" t="n">
        <v>43</v>
      </c>
      <c r="K167" s="5" t="inlineStr">
        <is>
          <t>Matcha</t>
        </is>
      </c>
      <c r="L167" s="5" t="inlineStr">
        <is>
          <t>Culinary/Latte</t>
        </is>
      </c>
      <c r="M167" s="11" t="n">
        <v>3</v>
      </c>
    </row>
    <row r="168">
      <c r="A168" s="4" t="n">
        <v>164</v>
      </c>
      <c r="B168" s="5" t="inlineStr">
        <is>
          <t>Matchamu</t>
        </is>
      </c>
      <c r="C168" s="5" t="inlineStr">
        <is>
          <t>Matchamu Matcha Latte Jar 250gr</t>
        </is>
      </c>
      <c r="D168" s="6" t="inlineStr">
        <is>
          <t>1729420498929355376</t>
        </is>
      </c>
      <c r="E168" s="4" t="n">
        <v>250</v>
      </c>
      <c r="F168" s="5" t="inlineStr">
        <is>
          <t>Jar</t>
        </is>
      </c>
      <c r="G168" s="7" t="n">
        <v>87798</v>
      </c>
      <c r="H168" s="7">
        <f>IF(OR($E168="—",$G168="—"),"—",ROUND($G168/$E168,0))</f>
        <v/>
      </c>
      <c r="I168" s="8" t="n">
        <v>2633942</v>
      </c>
      <c r="J168" s="7" t="n">
        <v>30</v>
      </c>
      <c r="K168" s="5" t="inlineStr">
        <is>
          <t>Matcha</t>
        </is>
      </c>
      <c r="L168" s="5" t="inlineStr">
        <is>
          <t>Culinary/Latte</t>
        </is>
      </c>
      <c r="M168" s="11" t="n">
        <v>3</v>
      </c>
    </row>
    <row r="169">
      <c r="A169" s="4" t="n">
        <v>165</v>
      </c>
      <c r="B169" s="5" t="inlineStr">
        <is>
          <t>Matchamu</t>
        </is>
      </c>
      <c r="C169" s="5" t="inlineStr">
        <is>
          <t>Matchamu Abang Teh Tarik Pouch isi 30 sachet</t>
        </is>
      </c>
      <c r="D169" s="6" t="inlineStr">
        <is>
          <t>1729578130537743984</t>
        </is>
      </c>
      <c r="E169" s="4" t="inlineStr">
        <is>
          <t>—</t>
        </is>
      </c>
      <c r="F169" s="5" t="inlineStr">
        <is>
          <t>Pouch</t>
        </is>
      </c>
      <c r="G169" s="7" t="n">
        <v>69759</v>
      </c>
      <c r="H169" s="7">
        <f>IF(OR($E169="—",$G169="—"),"—",ROUND($G169/$E169,0))</f>
        <v/>
      </c>
      <c r="I169" s="8" t="n">
        <v>2302061</v>
      </c>
      <c r="J169" s="7" t="n">
        <v>33</v>
      </c>
      <c r="K169" s="5" t="inlineStr">
        <is>
          <t>Teh Tarik</t>
        </is>
      </c>
      <c r="L169" s="5" t="inlineStr">
        <is>
          <t>—</t>
        </is>
      </c>
      <c r="M169" s="4" t="inlineStr">
        <is>
          <t>—</t>
        </is>
      </c>
    </row>
    <row r="170">
      <c r="A170" s="4" t="n">
        <v>166</v>
      </c>
      <c r="B170" s="5" t="inlineStr">
        <is>
          <t>Matchamu</t>
        </is>
      </c>
      <c r="C170" s="5" t="inlineStr">
        <is>
          <t>Matchamu Sakura Latte 250gr</t>
        </is>
      </c>
      <c r="D170" s="6" t="inlineStr">
        <is>
          <t>1730966729165997680</t>
        </is>
      </c>
      <c r="E170" s="4" t="n">
        <v>250</v>
      </c>
      <c r="F170" s="5" t="inlineStr">
        <is>
          <t>Tidak tertera</t>
        </is>
      </c>
      <c r="G170" s="7" t="n">
        <v>36299</v>
      </c>
      <c r="H170" s="7">
        <f>IF(OR($E170="—",$G170="—"),"—",ROUND($G170/$E170,0))</f>
        <v/>
      </c>
      <c r="I170" s="8" t="n">
        <v>2286859</v>
      </c>
      <c r="J170" s="7" t="n">
        <v>63</v>
      </c>
      <c r="K170" s="5" t="inlineStr">
        <is>
          <t>Sakura</t>
        </is>
      </c>
      <c r="L170" s="5" t="inlineStr">
        <is>
          <t>—</t>
        </is>
      </c>
      <c r="M170" s="4" t="inlineStr">
        <is>
          <t>—</t>
        </is>
      </c>
    </row>
    <row r="171">
      <c r="A171" s="4" t="n">
        <v>167</v>
      </c>
      <c r="B171" s="5" t="inlineStr">
        <is>
          <t>Matchamu</t>
        </is>
      </c>
      <c r="C171" s="5" t="inlineStr">
        <is>
          <t>Matchamu Bundle 3pcs Matcha Powder 100gr</t>
        </is>
      </c>
      <c r="D171" s="6" t="inlineStr">
        <is>
          <t>1734979369174337136</t>
        </is>
      </c>
      <c r="E171" s="4" t="n">
        <v>100</v>
      </c>
      <c r="F171" s="5" t="inlineStr">
        <is>
          <t>Tidak tertera</t>
        </is>
      </c>
      <c r="G171" s="7" t="n">
        <v>281037</v>
      </c>
      <c r="H171" s="7">
        <f>IF(OR($E171="—",$G171="—"),"—",ROUND($G171/$E171,0))</f>
        <v/>
      </c>
      <c r="I171" s="8" t="n">
        <v>2248299</v>
      </c>
      <c r="J171" s="7" t="n">
        <v>8</v>
      </c>
      <c r="K171" s="5" t="inlineStr">
        <is>
          <t>Matcha</t>
        </is>
      </c>
      <c r="L171" s="5" t="inlineStr">
        <is>
          <t>Grade tidak disebut</t>
        </is>
      </c>
      <c r="M171" s="10" t="n">
        <v>4</v>
      </c>
    </row>
    <row r="172">
      <c r="A172" s="4" t="n">
        <v>168</v>
      </c>
      <c r="B172" s="5" t="inlineStr">
        <is>
          <t>Matchamu</t>
        </is>
      </c>
      <c r="C172" s="5" t="inlineStr">
        <is>
          <t>Matchamu Matcha Series 15gr</t>
        </is>
      </c>
      <c r="D172" s="6" t="inlineStr">
        <is>
          <t>1730348027605059184</t>
        </is>
      </c>
      <c r="E172" s="4" t="n">
        <v>15</v>
      </c>
      <c r="F172" s="5" t="inlineStr">
        <is>
          <t>Tidak tertera</t>
        </is>
      </c>
      <c r="G172" s="7" t="n">
        <v>15960</v>
      </c>
      <c r="H172" s="7">
        <f>IF(OR($E172="—",$G172="—"),"—",ROUND($G172/$E172,0))</f>
        <v/>
      </c>
      <c r="I172" s="8" t="n">
        <v>2058861</v>
      </c>
      <c r="J172" s="7" t="n">
        <v>129</v>
      </c>
      <c r="K172" s="5" t="inlineStr">
        <is>
          <t>Matcha</t>
        </is>
      </c>
      <c r="L172" s="5" t="inlineStr">
        <is>
          <t>Grade tidak disebut</t>
        </is>
      </c>
      <c r="M172" s="10" t="n">
        <v>4</v>
      </c>
    </row>
    <row r="173">
      <c r="A173" s="4" t="n">
        <v>169</v>
      </c>
      <c r="B173" s="5" t="inlineStr">
        <is>
          <t>Matchamu</t>
        </is>
      </c>
      <c r="C173" s="5" t="inlineStr">
        <is>
          <t>Matchamu Bundle Matcha 5 varian (Kana, Komorebi, Minori, Midori, Maneki)</t>
        </is>
      </c>
      <c r="D173" s="6" t="inlineStr">
        <is>
          <t>1729580299040753264</t>
        </is>
      </c>
      <c r="E173" s="4" t="inlineStr">
        <is>
          <t>—</t>
        </is>
      </c>
      <c r="F173" s="5" t="inlineStr">
        <is>
          <t>Tidak tertera</t>
        </is>
      </c>
      <c r="G173" s="7" t="n">
        <v>136048</v>
      </c>
      <c r="H173" s="7">
        <f>IF(OR($E173="—",$G173="—"),"—",ROUND($G173/$E173,0))</f>
        <v/>
      </c>
      <c r="I173" s="8" t="n">
        <v>1768623</v>
      </c>
      <c r="J173" s="7" t="n">
        <v>13</v>
      </c>
      <c r="K173" s="5" t="inlineStr">
        <is>
          <t>Matcha</t>
        </is>
      </c>
      <c r="L173" s="5" t="inlineStr">
        <is>
          <t>Grade tidak disebut</t>
        </is>
      </c>
      <c r="M173" s="10" t="n">
        <v>4</v>
      </c>
    </row>
    <row r="174">
      <c r="A174" s="4" t="n">
        <v>170</v>
      </c>
      <c r="B174" s="5" t="inlineStr">
        <is>
          <t>Matchamu</t>
        </is>
      </c>
      <c r="C174" s="5" t="inlineStr">
        <is>
          <t>Matchamu Chai Latte 250gr</t>
        </is>
      </c>
      <c r="D174" s="6" t="inlineStr">
        <is>
          <t>1730348034725676656</t>
        </is>
      </c>
      <c r="E174" s="4" t="n">
        <v>250</v>
      </c>
      <c r="F174" s="5" t="inlineStr">
        <is>
          <t>Tidak tertera</t>
        </is>
      </c>
      <c r="G174" s="7" t="n">
        <v>67326</v>
      </c>
      <c r="H174" s="7">
        <f>IF(OR($E174="—",$G174="—"),"—",ROUND($G174/$E174,0))</f>
        <v/>
      </c>
      <c r="I174" s="8" t="n">
        <v>1615831</v>
      </c>
      <c r="J174" s="7" t="n">
        <v>24</v>
      </c>
      <c r="K174" s="5" t="inlineStr">
        <is>
          <t>Chai</t>
        </is>
      </c>
      <c r="L174" s="5" t="inlineStr">
        <is>
          <t>—</t>
        </is>
      </c>
      <c r="M174" s="4" t="inlineStr">
        <is>
          <t>—</t>
        </is>
      </c>
    </row>
    <row r="175">
      <c r="A175" s="4" t="n">
        <v>171</v>
      </c>
      <c r="B175" s="5" t="inlineStr">
        <is>
          <t>Matchamu</t>
        </is>
      </c>
      <c r="C175" s="5" t="inlineStr">
        <is>
          <t>Matchamu Matcha Koga Tincan 40gr</t>
        </is>
      </c>
      <c r="D175" s="6" t="inlineStr">
        <is>
          <t>1730522506774873712</t>
        </is>
      </c>
      <c r="E175" s="4" t="n">
        <v>40</v>
      </c>
      <c r="F175" s="5" t="inlineStr">
        <is>
          <t>Tin Can</t>
        </is>
      </c>
      <c r="G175" s="7" t="n">
        <v>390878</v>
      </c>
      <c r="H175" s="7">
        <f>IF(OR($E175="—",$G175="—"),"—",ROUND($G175/$E175,0))</f>
        <v/>
      </c>
      <c r="I175" s="8" t="n">
        <v>1563513</v>
      </c>
      <c r="J175" s="7" t="n">
        <v>4</v>
      </c>
      <c r="K175" s="5" t="inlineStr">
        <is>
          <t>Matcha</t>
        </is>
      </c>
      <c r="L175" s="5" t="inlineStr">
        <is>
          <t>Grade tidak disebut</t>
        </is>
      </c>
      <c r="M175" s="10" t="n">
        <v>4</v>
      </c>
    </row>
    <row r="176">
      <c r="A176" s="4" t="n">
        <v>172</v>
      </c>
      <c r="B176" s="5" t="inlineStr">
        <is>
          <t>Matchamu</t>
        </is>
      </c>
      <c r="C176" s="5" t="inlineStr">
        <is>
          <t>Matchamu Taro Latte 250gr</t>
        </is>
      </c>
      <c r="D176" s="6" t="inlineStr">
        <is>
          <t>1730348027621181040</t>
        </is>
      </c>
      <c r="E176" s="4" t="n">
        <v>250</v>
      </c>
      <c r="F176" s="5" t="inlineStr">
        <is>
          <t>Tidak tertera</t>
        </is>
      </c>
      <c r="G176" s="7" t="n">
        <v>23701</v>
      </c>
      <c r="H176" s="7">
        <f>IF(OR($E176="—",$G176="—"),"—",ROUND($G176/$E176,0))</f>
        <v/>
      </c>
      <c r="I176" s="8" t="n">
        <v>1493140</v>
      </c>
      <c r="J176" s="7" t="n">
        <v>63</v>
      </c>
      <c r="K176" s="5" t="inlineStr">
        <is>
          <t>Taro</t>
        </is>
      </c>
      <c r="L176" s="5" t="inlineStr">
        <is>
          <t>—</t>
        </is>
      </c>
      <c r="M176" s="4" t="inlineStr">
        <is>
          <t>—</t>
        </is>
      </c>
    </row>
    <row r="177">
      <c r="A177" s="4" t="n">
        <v>173</v>
      </c>
      <c r="B177" s="5" t="inlineStr">
        <is>
          <t>Matchamu</t>
        </is>
      </c>
      <c r="C177" s="5" t="inlineStr">
        <is>
          <t>Matchamu Sakura Powder 50gr</t>
        </is>
      </c>
      <c r="D177" s="6" t="inlineStr">
        <is>
          <t>1730966735519254128</t>
        </is>
      </c>
      <c r="E177" s="4" t="n">
        <v>50</v>
      </c>
      <c r="F177" s="5" t="inlineStr">
        <is>
          <t>Tidak tertera</t>
        </is>
      </c>
      <c r="G177" s="7" t="n">
        <v>57249</v>
      </c>
      <c r="H177" s="7">
        <f>IF(OR($E177="—",$G177="—"),"—",ROUND($G177/$E177,0))</f>
        <v/>
      </c>
      <c r="I177" s="8" t="n">
        <v>1431232</v>
      </c>
      <c r="J177" s="7" t="n">
        <v>25</v>
      </c>
      <c r="K177" s="5" t="inlineStr">
        <is>
          <t>Sakura</t>
        </is>
      </c>
      <c r="L177" s="5" t="inlineStr">
        <is>
          <t>—</t>
        </is>
      </c>
      <c r="M177" s="4" t="inlineStr">
        <is>
          <t>—</t>
        </is>
      </c>
    </row>
    <row r="178">
      <c r="A178" s="4" t="n">
        <v>174</v>
      </c>
      <c r="B178" s="5" t="inlineStr">
        <is>
          <t>Matchamu</t>
        </is>
      </c>
      <c r="C178" s="5" t="inlineStr">
        <is>
          <t>Matchamu Matcha Jingshan China Origin</t>
        </is>
      </c>
      <c r="D178" s="6" t="inlineStr">
        <is>
          <t>1731849221255497328</t>
        </is>
      </c>
      <c r="E178" s="4" t="inlineStr">
        <is>
          <t>—</t>
        </is>
      </c>
      <c r="F178" s="5" t="inlineStr">
        <is>
          <t>Tidak tertera</t>
        </is>
      </c>
      <c r="G178" s="7" t="n">
        <v>174696</v>
      </c>
      <c r="H178" s="7">
        <f>IF(OR($E178="—",$G178="—"),"—",ROUND($G178/$E178,0))</f>
        <v/>
      </c>
      <c r="I178" s="8" t="n">
        <v>1397567</v>
      </c>
      <c r="J178" s="7" t="n">
        <v>8</v>
      </c>
      <c r="K178" s="5" t="inlineStr">
        <is>
          <t>Matcha</t>
        </is>
      </c>
      <c r="L178" s="5" t="inlineStr">
        <is>
          <t>Grade tidak disebut</t>
        </is>
      </c>
      <c r="M178" s="10" t="n">
        <v>4</v>
      </c>
    </row>
    <row r="179">
      <c r="A179" s="4" t="n">
        <v>175</v>
      </c>
      <c r="B179" s="5" t="inlineStr">
        <is>
          <t>Matchamu</t>
        </is>
      </c>
      <c r="C179" s="5" t="inlineStr">
        <is>
          <t>Matchamu Kannabi no Kami Ceremonial Matcha Powder 30gr</t>
        </is>
      </c>
      <c r="D179" s="6" t="inlineStr">
        <is>
          <t>1733205463356245616</t>
        </is>
      </c>
      <c r="E179" s="4" t="n">
        <v>30</v>
      </c>
      <c r="F179" s="5" t="inlineStr">
        <is>
          <t>Tidak tertera</t>
        </is>
      </c>
      <c r="G179" s="7" t="n">
        <v>154456</v>
      </c>
      <c r="H179" s="7">
        <f>IF(OR($E179="—",$G179="—"),"—",ROUND($G179/$E179,0))</f>
        <v/>
      </c>
      <c r="I179" s="8" t="n">
        <v>1235651</v>
      </c>
      <c r="J179" s="7" t="n">
        <v>8</v>
      </c>
      <c r="K179" s="5" t="inlineStr">
        <is>
          <t>Matcha</t>
        </is>
      </c>
      <c r="L179" s="5" t="inlineStr">
        <is>
          <t>Ceremonial</t>
        </is>
      </c>
      <c r="M179" s="9" t="n">
        <v>1</v>
      </c>
    </row>
    <row r="180">
      <c r="A180" s="4" t="n">
        <v>176</v>
      </c>
      <c r="B180" s="5" t="inlineStr">
        <is>
          <t>Matchamu</t>
        </is>
      </c>
      <c r="C180" s="5" t="inlineStr">
        <is>
          <t>Matchamu Sweet Matcha 1kg</t>
        </is>
      </c>
      <c r="D180" s="6" t="inlineStr">
        <is>
          <t>1730348034762573424</t>
        </is>
      </c>
      <c r="E180" s="4" t="n">
        <v>1000</v>
      </c>
      <c r="F180" s="5" t="inlineStr">
        <is>
          <t>Tidak tertera</t>
        </is>
      </c>
      <c r="G180" s="7" t="n">
        <v>398372</v>
      </c>
      <c r="H180" s="7">
        <f>IF(OR($E180="—",$G180="—"),"—",ROUND($G180/$E180,0))</f>
        <v/>
      </c>
      <c r="I180" s="8" t="n">
        <v>1195116</v>
      </c>
      <c r="J180" s="7" t="n">
        <v>3</v>
      </c>
      <c r="K180" s="5" t="inlineStr">
        <is>
          <t>Matcha</t>
        </is>
      </c>
      <c r="L180" s="5" t="inlineStr">
        <is>
          <t>Culinary/Latte</t>
        </is>
      </c>
      <c r="M180" s="11" t="n">
        <v>3</v>
      </c>
    </row>
    <row r="181">
      <c r="A181" s="4" t="n">
        <v>177</v>
      </c>
      <c r="B181" s="5" t="inlineStr">
        <is>
          <t>Matchamu</t>
        </is>
      </c>
      <c r="C181" s="5" t="inlineStr">
        <is>
          <t>Matchamu Hojicha Powder 50gr</t>
        </is>
      </c>
      <c r="D181" s="6" t="inlineStr">
        <is>
          <t>1730348035508897392</t>
        </is>
      </c>
      <c r="E181" s="4" t="n">
        <v>50</v>
      </c>
      <c r="F181" s="5" t="inlineStr">
        <is>
          <t>Tidak tertera</t>
        </is>
      </c>
      <c r="G181" s="7" t="n">
        <v>51524</v>
      </c>
      <c r="H181" s="7">
        <f>IF(OR($E181="—",$G181="—"),"—",ROUND($G181/$E181,0))</f>
        <v/>
      </c>
      <c r="I181" s="8" t="n">
        <v>1133532</v>
      </c>
      <c r="J181" s="7" t="n">
        <v>22</v>
      </c>
      <c r="K181" s="5" t="inlineStr">
        <is>
          <t>Hojicha</t>
        </is>
      </c>
      <c r="L181" s="5" t="inlineStr">
        <is>
          <t>—</t>
        </is>
      </c>
      <c r="M181" s="4" t="inlineStr">
        <is>
          <t>—</t>
        </is>
      </c>
    </row>
    <row r="182">
      <c r="A182" s="4" t="n">
        <v>178</v>
      </c>
      <c r="B182" s="5" t="inlineStr">
        <is>
          <t>Matchamu</t>
        </is>
      </c>
      <c r="C182" s="5" t="inlineStr">
        <is>
          <t>Matchamu Gift of Happiness</t>
        </is>
      </c>
      <c r="D182" s="6" t="inlineStr">
        <is>
          <t>1729425701784423024</t>
        </is>
      </c>
      <c r="E182" s="4" t="inlineStr">
        <is>
          <t>—</t>
        </is>
      </c>
      <c r="F182" s="5" t="inlineStr">
        <is>
          <t>Tidak tertera</t>
        </is>
      </c>
      <c r="G182" s="7" t="n">
        <v>75552</v>
      </c>
      <c r="H182" s="7">
        <f>IF(OR($E182="—",$G182="—"),"—",ROUND($G182/$E182,0))</f>
        <v/>
      </c>
      <c r="I182" s="8" t="n">
        <v>1133287</v>
      </c>
      <c r="J182" s="7" t="n">
        <v>15</v>
      </c>
      <c r="K182" s="5" t="inlineStr">
        <is>
          <t>Lainnya</t>
        </is>
      </c>
      <c r="L182" s="5" t="inlineStr">
        <is>
          <t>—</t>
        </is>
      </c>
      <c r="M182" s="4" t="inlineStr">
        <is>
          <t>—</t>
        </is>
      </c>
    </row>
    <row r="183">
      <c r="A183" s="4" t="n">
        <v>179</v>
      </c>
      <c r="B183" s="5" t="inlineStr">
        <is>
          <t>Matchamu</t>
        </is>
      </c>
      <c r="C183" s="5" t="inlineStr">
        <is>
          <t>Matchamu Chasen Purple Bamboo</t>
        </is>
      </c>
      <c r="D183" s="6" t="inlineStr">
        <is>
          <t>1730797441609467504</t>
        </is>
      </c>
      <c r="E183" s="4" t="inlineStr">
        <is>
          <t>—</t>
        </is>
      </c>
      <c r="F183" s="5" t="inlineStr">
        <is>
          <t>Tidak tertera</t>
        </is>
      </c>
      <c r="G183" s="7" t="n">
        <v>341651</v>
      </c>
      <c r="H183" s="7">
        <f>IF(OR($E183="—",$G183="—"),"—",ROUND($G183/$E183,0))</f>
        <v/>
      </c>
      <c r="I183" s="8" t="n">
        <v>1024954</v>
      </c>
      <c r="J183" s="7" t="n">
        <v>3</v>
      </c>
      <c r="K183" s="5" t="inlineStr">
        <is>
          <t>Alat/Aksesori (non-minuman)</t>
        </is>
      </c>
      <c r="L183" s="5" t="inlineStr">
        <is>
          <t>—</t>
        </is>
      </c>
      <c r="M183" s="4" t="inlineStr">
        <is>
          <t>—</t>
        </is>
      </c>
    </row>
    <row r="184">
      <c r="A184" s="4" t="n">
        <v>180</v>
      </c>
      <c r="B184" s="5" t="inlineStr">
        <is>
          <t>Matchamu</t>
        </is>
      </c>
      <c r="C184" s="5" t="inlineStr">
        <is>
          <t>Matchamu Hojicha Powder 100gr</t>
        </is>
      </c>
      <c r="D184" s="6" t="inlineStr">
        <is>
          <t>1730348035557328496</t>
        </is>
      </c>
      <c r="E184" s="4" t="n">
        <v>100</v>
      </c>
      <c r="F184" s="5" t="inlineStr">
        <is>
          <t>Tidak tertera</t>
        </is>
      </c>
      <c r="G184" s="7" t="n">
        <v>119417</v>
      </c>
      <c r="H184" s="7">
        <f>IF(OR($E184="—",$G184="—"),"—",ROUND($G184/$E184,0))</f>
        <v/>
      </c>
      <c r="I184" s="8" t="n">
        <v>955336</v>
      </c>
      <c r="J184" s="7" t="n">
        <v>8</v>
      </c>
      <c r="K184" s="5" t="inlineStr">
        <is>
          <t>Hojicha</t>
        </is>
      </c>
      <c r="L184" s="5" t="inlineStr">
        <is>
          <t>—</t>
        </is>
      </c>
      <c r="M184" s="4" t="inlineStr">
        <is>
          <t>—</t>
        </is>
      </c>
    </row>
    <row r="185">
      <c r="A185" s="4" t="n">
        <v>181</v>
      </c>
      <c r="B185" s="5" t="inlineStr">
        <is>
          <t>Matchamu</t>
        </is>
      </c>
      <c r="C185" s="5" t="inlineStr">
        <is>
          <t>Matchamu Matcha Komorebi Powder 15gr</t>
        </is>
      </c>
      <c r="D185" s="6" t="inlineStr">
        <is>
          <t>1729988594685348464</t>
        </is>
      </c>
      <c r="E185" s="4" t="n">
        <v>15</v>
      </c>
      <c r="F185" s="5" t="inlineStr">
        <is>
          <t>Tidak tertera</t>
        </is>
      </c>
      <c r="G185" s="7" t="n">
        <v>15489</v>
      </c>
      <c r="H185" s="7">
        <f>IF(OR($E185="—",$G185="—"),"—",ROUND($G185/$E185,0))</f>
        <v/>
      </c>
      <c r="I185" s="8" t="n">
        <v>944801</v>
      </c>
      <c r="J185" s="7" t="n">
        <v>61</v>
      </c>
      <c r="K185" s="5" t="inlineStr">
        <is>
          <t>Matcha</t>
        </is>
      </c>
      <c r="L185" s="5" t="inlineStr">
        <is>
          <t>Grade tidak disebut</t>
        </is>
      </c>
      <c r="M185" s="10" t="n">
        <v>4</v>
      </c>
    </row>
    <row r="186">
      <c r="A186" s="4" t="n">
        <v>182</v>
      </c>
      <c r="B186" s="5" t="inlineStr">
        <is>
          <t>Matchamu</t>
        </is>
      </c>
      <c r="C186" s="5" t="inlineStr">
        <is>
          <t>Matchamu Bundle MPS Kana + Komorebi + Minori 15gr</t>
        </is>
      </c>
      <c r="D186" s="6" t="inlineStr">
        <is>
          <t>1735265345896810096</t>
        </is>
      </c>
      <c r="E186" s="4" t="n">
        <v>15</v>
      </c>
      <c r="F186" s="5" t="inlineStr">
        <is>
          <t>Tidak tertera</t>
        </is>
      </c>
      <c r="G186" s="7" t="n">
        <v>93547</v>
      </c>
      <c r="H186" s="7">
        <f>IF(OR($E186="—",$G186="—"),"—",ROUND($G186/$E186,0))</f>
        <v/>
      </c>
      <c r="I186" s="8" t="n">
        <v>935467</v>
      </c>
      <c r="J186" s="7" t="n">
        <v>10</v>
      </c>
      <c r="K186" s="5" t="inlineStr">
        <is>
          <t>Lainnya</t>
        </is>
      </c>
      <c r="L186" s="5" t="inlineStr">
        <is>
          <t>—</t>
        </is>
      </c>
      <c r="M186" s="4" t="inlineStr">
        <is>
          <t>—</t>
        </is>
      </c>
    </row>
    <row r="187">
      <c r="A187" s="4" t="n">
        <v>183</v>
      </c>
      <c r="B187" s="5" t="inlineStr">
        <is>
          <t>Matchamu</t>
        </is>
      </c>
      <c r="C187" s="5" t="inlineStr">
        <is>
          <t>Matchamu Ki Ceremonial Matcha Powder</t>
        </is>
      </c>
      <c r="D187" s="6" t="inlineStr">
        <is>
          <t>1733205306515687024</t>
        </is>
      </c>
      <c r="E187" s="4" t="inlineStr">
        <is>
          <t>—</t>
        </is>
      </c>
      <c r="F187" s="5" t="inlineStr">
        <is>
          <t>Tidak tertera</t>
        </is>
      </c>
      <c r="G187" s="7" t="n">
        <v>76680</v>
      </c>
      <c r="H187" s="7">
        <f>IF(OR($E187="—",$G187="—"),"—",ROUND($G187/$E187,0))</f>
        <v/>
      </c>
      <c r="I187" s="8" t="n">
        <v>843484</v>
      </c>
      <c r="J187" s="7" t="n">
        <v>11</v>
      </c>
      <c r="K187" s="5" t="inlineStr">
        <is>
          <t>Matcha</t>
        </is>
      </c>
      <c r="L187" s="5" t="inlineStr">
        <is>
          <t>Ceremonial</t>
        </is>
      </c>
      <c r="M187" s="9" t="n">
        <v>1</v>
      </c>
    </row>
    <row r="188">
      <c r="A188" s="4" t="n">
        <v>184</v>
      </c>
      <c r="B188" s="5" t="inlineStr">
        <is>
          <t>Matchamu</t>
        </is>
      </c>
      <c r="C188" s="5" t="inlineStr">
        <is>
          <t>Matchamu 3 box/ 15 sachet Abang Teh Tarik</t>
        </is>
      </c>
      <c r="D188" s="6" t="inlineStr">
        <is>
          <t>1734435988749387376</t>
        </is>
      </c>
      <c r="E188" s="4" t="inlineStr">
        <is>
          <t>—</t>
        </is>
      </c>
      <c r="F188" s="5" t="inlineStr">
        <is>
          <t>Sachet/Box</t>
        </is>
      </c>
      <c r="G188" s="7" t="n">
        <v>28821</v>
      </c>
      <c r="H188" s="7">
        <f>IF(OR($E188="—",$G188="—"),"—",ROUND($G188/$E188,0))</f>
        <v/>
      </c>
      <c r="I188" s="8" t="n">
        <v>749350</v>
      </c>
      <c r="J188" s="7" t="n">
        <v>26</v>
      </c>
      <c r="K188" s="5" t="inlineStr">
        <is>
          <t>Teh Tarik</t>
        </is>
      </c>
      <c r="L188" s="5" t="inlineStr">
        <is>
          <t>—</t>
        </is>
      </c>
      <c r="M188" s="4" t="inlineStr">
        <is>
          <t>—</t>
        </is>
      </c>
    </row>
    <row r="189">
      <c r="A189" s="4" t="n">
        <v>185</v>
      </c>
      <c r="B189" s="5" t="inlineStr">
        <is>
          <t>Matchamu</t>
        </is>
      </c>
      <c r="C189" s="5" t="inlineStr">
        <is>
          <t>Matchamu Matcha Latte 250gr</t>
        </is>
      </c>
      <c r="D189" s="6" t="inlineStr">
        <is>
          <t>1730966729869854320</t>
        </is>
      </c>
      <c r="E189" s="4" t="n">
        <v>250</v>
      </c>
      <c r="F189" s="5" t="inlineStr">
        <is>
          <t>Tidak tertera</t>
        </is>
      </c>
      <c r="G189" s="7" t="n">
        <v>72106</v>
      </c>
      <c r="H189" s="7">
        <f>IF(OR($E189="—",$G189="—"),"—",ROUND($G189/$E189,0))</f>
        <v/>
      </c>
      <c r="I189" s="8" t="n">
        <v>721058</v>
      </c>
      <c r="J189" s="7" t="n">
        <v>10</v>
      </c>
      <c r="K189" s="5" t="inlineStr">
        <is>
          <t>Matcha</t>
        </is>
      </c>
      <c r="L189" s="5" t="inlineStr">
        <is>
          <t>Culinary/Latte</t>
        </is>
      </c>
      <c r="M189" s="11" t="n">
        <v>3</v>
      </c>
    </row>
    <row r="190">
      <c r="A190" s="4" t="n">
        <v>186</v>
      </c>
      <c r="B190" s="5" t="inlineStr">
        <is>
          <t>Matchamu</t>
        </is>
      </c>
      <c r="C190" s="5" t="inlineStr">
        <is>
          <t>Matchamu Matcha Latte  1Kg</t>
        </is>
      </c>
      <c r="D190" s="6" t="inlineStr">
        <is>
          <t>1730966729819588208</t>
        </is>
      </c>
      <c r="E190" s="4" t="n">
        <v>1000</v>
      </c>
      <c r="F190" s="5" t="inlineStr">
        <is>
          <t>Tidak tertera</t>
        </is>
      </c>
      <c r="G190" s="7" t="n">
        <v>336668</v>
      </c>
      <c r="H190" s="7">
        <f>IF(OR($E190="—",$G190="—"),"—",ROUND($G190/$E190,0))</f>
        <v/>
      </c>
      <c r="I190" s="8" t="n">
        <v>673336</v>
      </c>
      <c r="J190" s="7" t="n">
        <v>2</v>
      </c>
      <c r="K190" s="5" t="inlineStr">
        <is>
          <t>Matcha</t>
        </is>
      </c>
      <c r="L190" s="5" t="inlineStr">
        <is>
          <t>Culinary/Latte</t>
        </is>
      </c>
      <c r="M190" s="11" t="n">
        <v>3</v>
      </c>
    </row>
    <row r="191">
      <c r="A191" s="4" t="n">
        <v>187</v>
      </c>
      <c r="B191" s="5" t="inlineStr">
        <is>
          <t>Matchamu</t>
        </is>
      </c>
      <c r="C191" s="5" t="inlineStr">
        <is>
          <t>Matchamu Bundling Matcha Kana Tincan Ceremonial 40gr + Matcha Komorebi 100gr</t>
        </is>
      </c>
      <c r="D191" s="6" t="inlineStr">
        <is>
          <t>1733826267636860528</t>
        </is>
      </c>
      <c r="E191" s="4" t="n">
        <v>40</v>
      </c>
      <c r="F191" s="5" t="inlineStr">
        <is>
          <t>Tin Can</t>
        </is>
      </c>
      <c r="G191" s="7" t="n">
        <v>336341</v>
      </c>
      <c r="H191" s="7">
        <f>IF(OR($E191="—",$G191="—"),"—",ROUND($G191/$E191,0))</f>
        <v/>
      </c>
      <c r="I191" s="8" t="n">
        <v>672683</v>
      </c>
      <c r="J191" s="7" t="n">
        <v>2</v>
      </c>
      <c r="K191" s="5" t="inlineStr">
        <is>
          <t>Matcha</t>
        </is>
      </c>
      <c r="L191" s="5" t="inlineStr">
        <is>
          <t>Ceremonial</t>
        </is>
      </c>
      <c r="M191" s="9" t="n">
        <v>1</v>
      </c>
    </row>
    <row r="192">
      <c r="A192" s="4" t="n">
        <v>188</v>
      </c>
      <c r="B192" s="5" t="inlineStr">
        <is>
          <t>Matchamu</t>
        </is>
      </c>
      <c r="C192" s="5" t="inlineStr">
        <is>
          <t>Matchamu Sakura Powder 100gr</t>
        </is>
      </c>
      <c r="D192" s="6" t="inlineStr">
        <is>
          <t>1730966729133688432</t>
        </is>
      </c>
      <c r="E192" s="4" t="n">
        <v>100</v>
      </c>
      <c r="F192" s="5" t="inlineStr">
        <is>
          <t>Tidak tertera</t>
        </is>
      </c>
      <c r="G192" s="7" t="n">
        <v>104700</v>
      </c>
      <c r="H192" s="7">
        <f>IF(OR($E192="—",$G192="—"),"—",ROUND($G192/$E192,0))</f>
        <v/>
      </c>
      <c r="I192" s="8" t="n">
        <v>628197</v>
      </c>
      <c r="J192" s="7" t="n">
        <v>6</v>
      </c>
      <c r="K192" s="5" t="inlineStr">
        <is>
          <t>Sakura</t>
        </is>
      </c>
      <c r="L192" s="5" t="inlineStr">
        <is>
          <t>—</t>
        </is>
      </c>
      <c r="M192" s="4" t="inlineStr">
        <is>
          <t>—</t>
        </is>
      </c>
    </row>
    <row r="193">
      <c r="A193" s="4" t="n">
        <v>189</v>
      </c>
      <c r="B193" s="5" t="inlineStr">
        <is>
          <t>Matchamu</t>
        </is>
      </c>
      <c r="C193" s="5" t="inlineStr">
        <is>
          <t>Matchamu Taro Powder 50gr</t>
        </is>
      </c>
      <c r="D193" s="6" t="inlineStr">
        <is>
          <t>1730966728908572272</t>
        </is>
      </c>
      <c r="E193" s="4" t="n">
        <v>50</v>
      </c>
      <c r="F193" s="5" t="inlineStr">
        <is>
          <t>Tidak tertera</t>
        </is>
      </c>
      <c r="G193" s="7" t="n">
        <v>8927</v>
      </c>
      <c r="H193" s="7">
        <f>IF(OR($E193="—",$G193="—"),"—",ROUND($G193/$E193,0))</f>
        <v/>
      </c>
      <c r="I193" s="8" t="n">
        <v>374951</v>
      </c>
      <c r="J193" s="7" t="n">
        <v>42</v>
      </c>
      <c r="K193" s="5" t="inlineStr">
        <is>
          <t>Taro</t>
        </is>
      </c>
      <c r="L193" s="5" t="inlineStr">
        <is>
          <t>—</t>
        </is>
      </c>
      <c r="M193" s="4" t="inlineStr">
        <is>
          <t>—</t>
        </is>
      </c>
    </row>
    <row r="194">
      <c r="A194" s="4" t="n">
        <v>190</v>
      </c>
      <c r="B194" s="5" t="inlineStr">
        <is>
          <t>Matchamu</t>
        </is>
      </c>
      <c r="C194" s="5" t="inlineStr">
        <is>
          <t>Matchamu 2 pcs Matcha Minori Powder 15gr</t>
        </is>
      </c>
      <c r="D194" s="6" t="inlineStr">
        <is>
          <t>1729729489676372592</t>
        </is>
      </c>
      <c r="E194" s="4" t="n">
        <v>15</v>
      </c>
      <c r="F194" s="5" t="inlineStr">
        <is>
          <t>Tidak tertera</t>
        </is>
      </c>
      <c r="G194" s="7" t="n">
        <v>29220</v>
      </c>
      <c r="H194" s="7">
        <f>IF(OR($E194="—",$G194="—"),"—",ROUND($G194/$E194,0))</f>
        <v/>
      </c>
      <c r="I194" s="8" t="n">
        <v>321421</v>
      </c>
      <c r="J194" s="7" t="n">
        <v>11</v>
      </c>
      <c r="K194" s="5" t="inlineStr">
        <is>
          <t>Matcha</t>
        </is>
      </c>
      <c r="L194" s="5" t="inlineStr">
        <is>
          <t>Grade tidak disebut</t>
        </is>
      </c>
      <c r="M194" s="10" t="n">
        <v>4</v>
      </c>
    </row>
    <row r="195">
      <c r="A195" s="4" t="n">
        <v>191</v>
      </c>
      <c r="B195" s="5" t="inlineStr">
        <is>
          <t>Matchamu</t>
        </is>
      </c>
      <c r="C195" s="5" t="inlineStr">
        <is>
          <t>Matchamu 3 box/ 9 sachet Sakura Latte</t>
        </is>
      </c>
      <c r="D195" s="6" t="inlineStr">
        <is>
          <t>1729429995529276016</t>
        </is>
      </c>
      <c r="E195" s="4" t="inlineStr">
        <is>
          <t>—</t>
        </is>
      </c>
      <c r="F195" s="5" t="inlineStr">
        <is>
          <t>Sachet/Box</t>
        </is>
      </c>
      <c r="G195" s="7" t="n">
        <v>40114</v>
      </c>
      <c r="H195" s="7">
        <f>IF(OR($E195="—",$G195="—"),"—",ROUND($G195/$E195,0))</f>
        <v/>
      </c>
      <c r="I195" s="8" t="n">
        <v>320911</v>
      </c>
      <c r="J195" s="7" t="n">
        <v>8</v>
      </c>
      <c r="K195" s="5" t="inlineStr">
        <is>
          <t>Sakura</t>
        </is>
      </c>
      <c r="L195" s="5" t="inlineStr">
        <is>
          <t>—</t>
        </is>
      </c>
      <c r="M195" s="4" t="inlineStr">
        <is>
          <t>—</t>
        </is>
      </c>
    </row>
    <row r="196">
      <c r="A196" s="4" t="n">
        <v>192</v>
      </c>
      <c r="B196" s="5" t="inlineStr">
        <is>
          <t>Matchamu</t>
        </is>
      </c>
      <c r="C196" s="5" t="inlineStr">
        <is>
          <t>Matchamu Sweet Matcha 500gr</t>
        </is>
      </c>
      <c r="D196" s="6" t="inlineStr">
        <is>
          <t>1730348027600995952</t>
        </is>
      </c>
      <c r="E196" s="4" t="n">
        <v>500</v>
      </c>
      <c r="F196" s="5" t="inlineStr">
        <is>
          <t>Tidak tertera</t>
        </is>
      </c>
      <c r="G196" s="7" t="n">
        <v>158081</v>
      </c>
      <c r="H196" s="7">
        <f>IF(OR($E196="—",$G196="—"),"—",ROUND($G196/$E196,0))</f>
        <v/>
      </c>
      <c r="I196" s="8" t="n">
        <v>316162</v>
      </c>
      <c r="J196" s="7" t="n">
        <v>2</v>
      </c>
      <c r="K196" s="5" t="inlineStr">
        <is>
          <t>Matcha</t>
        </is>
      </c>
      <c r="L196" s="5" t="inlineStr">
        <is>
          <t>Culinary/Latte</t>
        </is>
      </c>
      <c r="M196" s="11" t="n">
        <v>3</v>
      </c>
    </row>
    <row r="197">
      <c r="A197" s="4" t="n">
        <v>193</v>
      </c>
      <c r="B197" s="5" t="inlineStr">
        <is>
          <t>Matchamu</t>
        </is>
      </c>
      <c r="C197" s="5" t="inlineStr">
        <is>
          <t>Matchamu Hojicha Latte (1 box isi 20 sachet)</t>
        </is>
      </c>
      <c r="D197" s="6" t="inlineStr">
        <is>
          <t>1729420339867257456</t>
        </is>
      </c>
      <c r="E197" s="4" t="inlineStr">
        <is>
          <t>—</t>
        </is>
      </c>
      <c r="F197" s="5" t="inlineStr">
        <is>
          <t>Sachet/Box</t>
        </is>
      </c>
      <c r="G197" s="7" t="n">
        <v>98418</v>
      </c>
      <c r="H197" s="7">
        <f>IF(OR($E197="—",$G197="—"),"—",ROUND($G197/$E197,0))</f>
        <v/>
      </c>
      <c r="I197" s="8" t="n">
        <v>295255</v>
      </c>
      <c r="J197" s="7" t="n">
        <v>3</v>
      </c>
      <c r="K197" s="5" t="inlineStr">
        <is>
          <t>Hojicha</t>
        </is>
      </c>
      <c r="L197" s="5" t="inlineStr">
        <is>
          <t>—</t>
        </is>
      </c>
      <c r="M197" s="4" t="inlineStr">
        <is>
          <t>—</t>
        </is>
      </c>
    </row>
    <row r="198">
      <c r="A198" s="4" t="n">
        <v>194</v>
      </c>
      <c r="B198" s="5" t="inlineStr">
        <is>
          <t>Matchamu</t>
        </is>
      </c>
      <c r="C198" s="5" t="inlineStr">
        <is>
          <t>Matchamu Sweet Matcha 250gr</t>
        </is>
      </c>
      <c r="D198" s="6" t="inlineStr">
        <is>
          <t>1730348036247488112</t>
        </is>
      </c>
      <c r="E198" s="4" t="n">
        <v>250</v>
      </c>
      <c r="F198" s="5" t="inlineStr">
        <is>
          <t>Tidak tertera</t>
        </is>
      </c>
      <c r="G198" s="7" t="n">
        <v>97561</v>
      </c>
      <c r="H198" s="7">
        <f>IF(OR($E198="—",$G198="—"),"—",ROUND($G198/$E198,0))</f>
        <v/>
      </c>
      <c r="I198" s="8" t="n">
        <v>292683</v>
      </c>
      <c r="J198" s="7" t="n">
        <v>3</v>
      </c>
      <c r="K198" s="5" t="inlineStr">
        <is>
          <t>Matcha</t>
        </is>
      </c>
      <c r="L198" s="5" t="inlineStr">
        <is>
          <t>Culinary/Latte</t>
        </is>
      </c>
      <c r="M198" s="11" t="n">
        <v>3</v>
      </c>
    </row>
    <row r="199">
      <c r="A199" s="4" t="n">
        <v>195</v>
      </c>
      <c r="B199" s="5" t="inlineStr">
        <is>
          <t>Matchamu</t>
        </is>
      </c>
      <c r="C199" s="5" t="inlineStr">
        <is>
          <t>Matchamu 3 pcs Matcha Maneki Powder 15gr</t>
        </is>
      </c>
      <c r="D199" s="6" t="inlineStr">
        <is>
          <t>1729980331895065200</t>
        </is>
      </c>
      <c r="E199" s="4" t="n">
        <v>15</v>
      </c>
      <c r="F199" s="5" t="inlineStr">
        <is>
          <t>Tidak tertera</t>
        </is>
      </c>
      <c r="G199" s="7" t="n">
        <v>16436</v>
      </c>
      <c r="H199" s="7">
        <f>IF(OR($E199="—",$G199="—"),"—",ROUND($G199/$E199,0))</f>
        <v/>
      </c>
      <c r="I199" s="8" t="n">
        <v>279415</v>
      </c>
      <c r="J199" s="7" t="n">
        <v>17</v>
      </c>
      <c r="K199" s="5" t="inlineStr">
        <is>
          <t>Matcha</t>
        </is>
      </c>
      <c r="L199" s="5" t="inlineStr">
        <is>
          <t>Grade tidak disebut</t>
        </is>
      </c>
      <c r="M199" s="10" t="n">
        <v>4</v>
      </c>
    </row>
    <row r="200">
      <c r="A200" s="4" t="n">
        <v>196</v>
      </c>
      <c r="B200" s="5" t="inlineStr">
        <is>
          <t>Matchamu</t>
        </is>
      </c>
      <c r="C200" s="5" t="inlineStr">
        <is>
          <t>Matchamu Chawan Transparent Bowl</t>
        </is>
      </c>
      <c r="D200" s="6" t="inlineStr">
        <is>
          <t>1730797428895745648</t>
        </is>
      </c>
      <c r="E200" s="4" t="inlineStr">
        <is>
          <t>—</t>
        </is>
      </c>
      <c r="F200" s="5" t="inlineStr">
        <is>
          <t>Tidak tertera</t>
        </is>
      </c>
      <c r="G200" s="7" t="n">
        <v>243708</v>
      </c>
      <c r="H200" s="7">
        <f>IF(OR($E200="—",$G200="—"),"—",ROUND($G200/$E200,0))</f>
        <v/>
      </c>
      <c r="I200" s="8" t="n">
        <v>243708</v>
      </c>
      <c r="J200" s="7" t="n">
        <v>1</v>
      </c>
      <c r="K200" s="5" t="inlineStr">
        <is>
          <t>Alat/Aksesori (non-minuman)</t>
        </is>
      </c>
      <c r="L200" s="5" t="inlineStr">
        <is>
          <t>—</t>
        </is>
      </c>
      <c r="M200" s="4" t="inlineStr">
        <is>
          <t>—</t>
        </is>
      </c>
    </row>
    <row r="201">
      <c r="A201" s="4" t="n">
        <v>197</v>
      </c>
      <c r="B201" s="5" t="inlineStr">
        <is>
          <t>Matchamu</t>
        </is>
      </c>
      <c r="C201" s="5" t="inlineStr">
        <is>
          <t>Matchamu Taro Powder 100gr</t>
        </is>
      </c>
      <c r="D201" s="6" t="inlineStr">
        <is>
          <t>1730348034723710576</t>
        </is>
      </c>
      <c r="E201" s="4" t="n">
        <v>100</v>
      </c>
      <c r="F201" s="5" t="inlineStr">
        <is>
          <t>Tidak tertera</t>
        </is>
      </c>
      <c r="G201" s="7" t="n">
        <v>24974</v>
      </c>
      <c r="H201" s="7">
        <f>IF(OR($E201="—",$G201="—"),"—",ROUND($G201/$E201,0))</f>
        <v/>
      </c>
      <c r="I201" s="8" t="n">
        <v>224767</v>
      </c>
      <c r="J201" s="7" t="n">
        <v>9</v>
      </c>
      <c r="K201" s="5" t="inlineStr">
        <is>
          <t>Taro</t>
        </is>
      </c>
      <c r="L201" s="5" t="inlineStr">
        <is>
          <t>—</t>
        </is>
      </c>
      <c r="M201" s="4" t="inlineStr">
        <is>
          <t>—</t>
        </is>
      </c>
    </row>
    <row r="202">
      <c r="A202" s="4" t="n">
        <v>198</v>
      </c>
      <c r="B202" s="5" t="inlineStr">
        <is>
          <t>Matchamu</t>
        </is>
      </c>
      <c r="C202" s="5" t="inlineStr">
        <is>
          <t>Matchamu 2pcs Matcha Midori Powder 15gr</t>
        </is>
      </c>
      <c r="D202" s="6" t="inlineStr">
        <is>
          <t>1729980320451234416</t>
        </is>
      </c>
      <c r="E202" s="4" t="n">
        <v>15</v>
      </c>
      <c r="F202" s="5" t="inlineStr">
        <is>
          <t>Tidak tertera</t>
        </is>
      </c>
      <c r="G202" s="7" t="n">
        <v>19379</v>
      </c>
      <c r="H202" s="7">
        <f>IF(OR($E202="—",$G202="—"),"—",ROUND($G202/$E202,0))</f>
        <v/>
      </c>
      <c r="I202" s="8" t="n">
        <v>135651</v>
      </c>
      <c r="J202" s="7" t="n">
        <v>7</v>
      </c>
      <c r="K202" s="5" t="inlineStr">
        <is>
          <t>Matcha</t>
        </is>
      </c>
      <c r="L202" s="5" t="inlineStr">
        <is>
          <t>Grade tidak disebut</t>
        </is>
      </c>
      <c r="M202" s="10" t="n">
        <v>4</v>
      </c>
    </row>
    <row r="203">
      <c r="A203" s="4" t="n">
        <v>199</v>
      </c>
      <c r="B203" s="5" t="inlineStr">
        <is>
          <t>Matchamu</t>
        </is>
      </c>
      <c r="C203" s="5" t="inlineStr">
        <is>
          <t>Matchamu Bundling Komorebi 15gr + Minori 15gr 2pcs</t>
        </is>
      </c>
      <c r="D203" s="6" t="inlineStr">
        <is>
          <t>1733826295625320048</t>
        </is>
      </c>
      <c r="E203" s="4" t="n">
        <v>15</v>
      </c>
      <c r="F203" s="5" t="inlineStr">
        <is>
          <t>Tidak tertera</t>
        </is>
      </c>
      <c r="G203" s="7" t="n">
        <v>61129</v>
      </c>
      <c r="H203" s="7">
        <f>IF(OR($E203="—",$G203="—"),"—",ROUND($G203/$E203,0))</f>
        <v/>
      </c>
      <c r="I203" s="8" t="n">
        <v>122259</v>
      </c>
      <c r="J203" s="7" t="n">
        <v>2</v>
      </c>
      <c r="K203" s="5" t="inlineStr">
        <is>
          <t>Lainnya</t>
        </is>
      </c>
      <c r="L203" s="5" t="inlineStr">
        <is>
          <t>—</t>
        </is>
      </c>
      <c r="M203" s="4" t="inlineStr">
        <is>
          <t>—</t>
        </is>
      </c>
    </row>
    <row r="204">
      <c r="A204" s="4" t="n">
        <v>200</v>
      </c>
      <c r="B204" s="5" t="inlineStr">
        <is>
          <t>Matchamu</t>
        </is>
      </c>
      <c r="C204" s="5" t="inlineStr">
        <is>
          <t>Matchamu 3 box/ 9 sachet Hojicha Latte</t>
        </is>
      </c>
      <c r="D204" s="6" t="inlineStr">
        <is>
          <t>1729430000503065200</t>
        </is>
      </c>
      <c r="E204" s="4" t="inlineStr">
        <is>
          <t>—</t>
        </is>
      </c>
      <c r="F204" s="5" t="inlineStr">
        <is>
          <t>Sachet/Box</t>
        </is>
      </c>
      <c r="G204" s="7" t="n">
        <v>50586</v>
      </c>
      <c r="H204" s="7">
        <f>IF(OR($E204="—",$G204="—"),"—",ROUND($G204/$E204,0))</f>
        <v/>
      </c>
      <c r="I204" s="8" t="n">
        <v>101172</v>
      </c>
      <c r="J204" s="7" t="n">
        <v>2</v>
      </c>
      <c r="K204" s="5" t="inlineStr">
        <is>
          <t>Hojicha</t>
        </is>
      </c>
      <c r="L204" s="5" t="inlineStr">
        <is>
          <t>—</t>
        </is>
      </c>
      <c r="M204" s="4" t="inlineStr">
        <is>
          <t>—</t>
        </is>
      </c>
    </row>
    <row r="205">
      <c r="A205" s="4" t="n">
        <v>201</v>
      </c>
      <c r="B205" s="5" t="inlineStr">
        <is>
          <t>Matchamu</t>
        </is>
      </c>
      <c r="C205" s="5" t="inlineStr">
        <is>
          <t>Matchamu Sencha Loose Tea 50gr</t>
        </is>
      </c>
      <c r="D205" s="6" t="inlineStr">
        <is>
          <t>1730348027602306672</t>
        </is>
      </c>
      <c r="E205" s="4" t="n">
        <v>50</v>
      </c>
      <c r="F205" s="5" t="inlineStr">
        <is>
          <t>Tidak tertera</t>
        </is>
      </c>
      <c r="G205" s="7" t="n">
        <v>37120</v>
      </c>
      <c r="H205" s="7">
        <f>IF(OR($E205="—",$G205="—"),"—",ROUND($G205/$E205,0))</f>
        <v/>
      </c>
      <c r="I205" s="8" t="n">
        <v>74241</v>
      </c>
      <c r="J205" s="7" t="n">
        <v>2</v>
      </c>
      <c r="K205" s="5" t="inlineStr">
        <is>
          <t>Sencha (green tea)</t>
        </is>
      </c>
      <c r="L205" s="5" t="inlineStr">
        <is>
          <t>—</t>
        </is>
      </c>
      <c r="M205" s="4" t="inlineStr">
        <is>
          <t>—</t>
        </is>
      </c>
    </row>
    <row r="206">
      <c r="A206" s="4" t="n">
        <v>202</v>
      </c>
      <c r="B206" s="5" t="inlineStr">
        <is>
          <t>Matchamu</t>
        </is>
      </c>
      <c r="C206" s="5" t="inlineStr">
        <is>
          <t>Matchamu 3 box/ 9 sachet Black Sesame Latte</t>
        </is>
      </c>
      <c r="D206" s="6" t="inlineStr">
        <is>
          <t>1729430001110714992</t>
        </is>
      </c>
      <c r="E206" s="4" t="inlineStr">
        <is>
          <t>—</t>
        </is>
      </c>
      <c r="F206" s="5" t="inlineStr">
        <is>
          <t>Sachet/Box</t>
        </is>
      </c>
      <c r="G206" s="7" t="n">
        <v>48874</v>
      </c>
      <c r="H206" s="7">
        <f>IF(OR($E206="—",$G206="—"),"—",ROUND($G206/$E206,0))</f>
        <v/>
      </c>
      <c r="I206" s="8" t="n">
        <v>48874</v>
      </c>
      <c r="J206" s="7" t="n">
        <v>1</v>
      </c>
      <c r="K206" s="5" t="inlineStr">
        <is>
          <t>Black Sesame</t>
        </is>
      </c>
      <c r="L206" s="5" t="inlineStr">
        <is>
          <t>—</t>
        </is>
      </c>
      <c r="M206" s="4" t="inlineStr">
        <is>
          <t>—</t>
        </is>
      </c>
    </row>
    <row r="207">
      <c r="A207" s="4" t="n">
        <v>203</v>
      </c>
      <c r="B207" s="5" t="inlineStr">
        <is>
          <t>Matchamu</t>
        </is>
      </c>
      <c r="C207" s="5" t="inlineStr">
        <is>
          <t>Matchamu Hojicha Latte Powder 250gr</t>
        </is>
      </c>
      <c r="D207" s="6" t="inlineStr">
        <is>
          <t>1730348035561981552</t>
        </is>
      </c>
      <c r="E207" s="4" t="n">
        <v>250</v>
      </c>
      <c r="F207" s="5" t="inlineStr">
        <is>
          <t>Tidak tertera</t>
        </is>
      </c>
      <c r="G207" s="7" t="n">
        <v>41142</v>
      </c>
      <c r="H207" s="7">
        <f>IF(OR($E207="—",$G207="—"),"—",ROUND($G207/$E207,0))</f>
        <v/>
      </c>
      <c r="I207" s="8" t="n">
        <v>41142</v>
      </c>
      <c r="J207" s="7" t="n">
        <v>1</v>
      </c>
      <c r="K207" s="5" t="inlineStr">
        <is>
          <t>Hojicha</t>
        </is>
      </c>
      <c r="L207" s="5" t="inlineStr">
        <is>
          <t>—</t>
        </is>
      </c>
      <c r="M207" s="4" t="inlineStr">
        <is>
          <t>—</t>
        </is>
      </c>
    </row>
    <row r="208">
      <c r="A208" s="4" t="n">
        <v>204</v>
      </c>
      <c r="B208" s="5" t="inlineStr">
        <is>
          <t>Matchamu</t>
        </is>
      </c>
      <c r="C208" s="5" t="inlineStr">
        <is>
          <t>Matchamu 3 box/ 9 sachet Kinako latte</t>
        </is>
      </c>
      <c r="D208" s="6" t="inlineStr">
        <is>
          <t>1729430000690891376</t>
        </is>
      </c>
      <c r="E208" s="4" t="inlineStr">
        <is>
          <t>—</t>
        </is>
      </c>
      <c r="F208" s="5" t="inlineStr">
        <is>
          <t>Sachet/Box</t>
        </is>
      </c>
      <c r="G208" s="7" t="n">
        <v>34098</v>
      </c>
      <c r="H208" s="7">
        <f>IF(OR($E208="—",$G208="—"),"—",ROUND($G208/$E208,0))</f>
        <v/>
      </c>
      <c r="I208" s="8" t="n">
        <v>34098</v>
      </c>
      <c r="J208" s="7" t="n">
        <v>1</v>
      </c>
      <c r="K208" s="5" t="inlineStr">
        <is>
          <t>Kinako</t>
        </is>
      </c>
      <c r="L208" s="5" t="inlineStr">
        <is>
          <t>—</t>
        </is>
      </c>
      <c r="M208" s="4" t="inlineStr">
        <is>
          <t>—</t>
        </is>
      </c>
    </row>
    <row r="209">
      <c r="A209" s="4" t="n">
        <v>205</v>
      </c>
      <c r="B209" s="5" t="inlineStr">
        <is>
          <t>Matchamu</t>
        </is>
      </c>
      <c r="C209" s="5" t="inlineStr">
        <is>
          <t>Matchamu Genmaicha Matcha Iri 50gr</t>
        </is>
      </c>
      <c r="D209" s="6" t="inlineStr">
        <is>
          <t>1730348036262495856</t>
        </is>
      </c>
      <c r="E209" s="4" t="n">
        <v>50</v>
      </c>
      <c r="F209" s="5" t="inlineStr">
        <is>
          <t>Tidak tertera</t>
        </is>
      </c>
      <c r="G209" s="7" t="n">
        <v>23632</v>
      </c>
      <c r="H209" s="7">
        <f>IF(OR($E209="—",$G209="—"),"—",ROUND($G209/$E209,0))</f>
        <v/>
      </c>
      <c r="I209" s="8" t="n">
        <v>23632</v>
      </c>
      <c r="J209" s="7" t="n">
        <v>1</v>
      </c>
      <c r="K209" s="5" t="inlineStr">
        <is>
          <t>Genmaicha (matcha iri)</t>
        </is>
      </c>
      <c r="L209" s="5" t="inlineStr">
        <is>
          <t>—</t>
        </is>
      </c>
      <c r="M209" s="4" t="inlineStr">
        <is>
          <t>—</t>
        </is>
      </c>
    </row>
    <row r="210">
      <c r="A210" s="4" t="n">
        <v>206</v>
      </c>
      <c r="B210" s="5" t="inlineStr">
        <is>
          <t>Matchamu</t>
        </is>
      </c>
      <c r="C210" s="5" t="inlineStr">
        <is>
          <t>Matchamu Hojicha Powder 1Kg</t>
        </is>
      </c>
      <c r="D210" s="6" t="inlineStr">
        <is>
          <t>1730348029153609328</t>
        </is>
      </c>
      <c r="E210" s="4" t="n">
        <v>1000</v>
      </c>
      <c r="F210" s="5" t="inlineStr">
        <is>
          <t>Tidak tertera</t>
        </is>
      </c>
      <c r="G210" s="7" t="inlineStr">
        <is>
          <t>—</t>
        </is>
      </c>
      <c r="H210" s="7">
        <f>IF(OR($E210="—",$G210="—"),"—",ROUND($G210/$E210,0))</f>
        <v/>
      </c>
      <c r="I210" s="8" t="n">
        <v>0</v>
      </c>
      <c r="J210" s="7" t="n">
        <v>0</v>
      </c>
      <c r="K210" s="5" t="inlineStr">
        <is>
          <t>Hojicha</t>
        </is>
      </c>
      <c r="L210" s="5" t="inlineStr">
        <is>
          <t>—</t>
        </is>
      </c>
      <c r="M210" s="4" t="inlineStr">
        <is>
          <t>—</t>
        </is>
      </c>
    </row>
    <row r="211">
      <c r="A211" s="4" t="n">
        <v>207</v>
      </c>
      <c r="B211" s="5" t="inlineStr">
        <is>
          <t>Matchamu</t>
        </is>
      </c>
      <c r="C211" s="5" t="inlineStr">
        <is>
          <t>Matchamu Hojicha Latte Powder 1Kg</t>
        </is>
      </c>
      <c r="D211" s="6" t="inlineStr">
        <is>
          <t>1730348029154657904</t>
        </is>
      </c>
      <c r="E211" s="4" t="n">
        <v>1000</v>
      </c>
      <c r="F211" s="5" t="inlineStr">
        <is>
          <t>Tidak tertera</t>
        </is>
      </c>
      <c r="G211" s="7" t="inlineStr">
        <is>
          <t>—</t>
        </is>
      </c>
      <c r="H211" s="7">
        <f>IF(OR($E211="—",$G211="—"),"—",ROUND($G211/$E211,0))</f>
        <v/>
      </c>
      <c r="I211" s="8" t="n">
        <v>0</v>
      </c>
      <c r="J211" s="7" t="n">
        <v>0</v>
      </c>
      <c r="K211" s="5" t="inlineStr">
        <is>
          <t>Hojicha</t>
        </is>
      </c>
      <c r="L211" s="5" t="inlineStr">
        <is>
          <t>—</t>
        </is>
      </c>
      <c r="M211" s="4" t="inlineStr">
        <is>
          <t>—</t>
        </is>
      </c>
    </row>
    <row r="212">
      <c r="A212" s="4" t="n">
        <v>208</v>
      </c>
      <c r="B212" s="5" t="inlineStr">
        <is>
          <t>Matchamu</t>
        </is>
      </c>
      <c r="C212" s="5" t="inlineStr">
        <is>
          <t>Matchamu Chai Latte 1000gr</t>
        </is>
      </c>
      <c r="D212" s="6" t="inlineStr">
        <is>
          <t>1730348035580135024</t>
        </is>
      </c>
      <c r="E212" s="4" t="n">
        <v>1000</v>
      </c>
      <c r="F212" s="5" t="inlineStr">
        <is>
          <t>Tidak tertera</t>
        </is>
      </c>
      <c r="G212" s="7" t="inlineStr">
        <is>
          <t>—</t>
        </is>
      </c>
      <c r="H212" s="7">
        <f>IF(OR($E212="—",$G212="—"),"—",ROUND($G212/$E212,0))</f>
        <v/>
      </c>
      <c r="I212" s="8" t="n">
        <v>0</v>
      </c>
      <c r="J212" s="7" t="n">
        <v>0</v>
      </c>
      <c r="K212" s="5" t="inlineStr">
        <is>
          <t>Chai</t>
        </is>
      </c>
      <c r="L212" s="5" t="inlineStr">
        <is>
          <t>—</t>
        </is>
      </c>
      <c r="M212" s="4" t="inlineStr">
        <is>
          <t>—</t>
        </is>
      </c>
    </row>
    <row r="213">
      <c r="A213" s="4" t="n">
        <v>209</v>
      </c>
      <c r="B213" s="5" t="inlineStr">
        <is>
          <t>Matchamu</t>
        </is>
      </c>
      <c r="C213" s="5" t="inlineStr">
        <is>
          <t>Matchamu Genmaicha Matcha Iri 100gr</t>
        </is>
      </c>
      <c r="D213" s="6" t="inlineStr">
        <is>
          <t>1730348037311858288</t>
        </is>
      </c>
      <c r="E213" s="4" t="n">
        <v>100</v>
      </c>
      <c r="F213" s="5" t="inlineStr">
        <is>
          <t>Tidak tertera</t>
        </is>
      </c>
      <c r="G213" s="7" t="inlineStr">
        <is>
          <t>—</t>
        </is>
      </c>
      <c r="H213" s="7">
        <f>IF(OR($E213="—",$G213="—"),"—",ROUND($G213/$E213,0))</f>
        <v/>
      </c>
      <c r="I213" s="8" t="n">
        <v>0</v>
      </c>
      <c r="J213" s="7" t="n">
        <v>0</v>
      </c>
      <c r="K213" s="5" t="inlineStr">
        <is>
          <t>Genmaicha (matcha iri)</t>
        </is>
      </c>
      <c r="L213" s="5" t="inlineStr">
        <is>
          <t>—</t>
        </is>
      </c>
      <c r="M213" s="4" t="inlineStr">
        <is>
          <t>—</t>
        </is>
      </c>
    </row>
    <row r="214">
      <c r="A214" s="4" t="n">
        <v>210</v>
      </c>
      <c r="B214" s="5" t="inlineStr">
        <is>
          <t>Matchamu</t>
        </is>
      </c>
      <c r="C214" s="5" t="inlineStr">
        <is>
          <t>Matchamu Sencha Loose Tea 100gr</t>
        </is>
      </c>
      <c r="D214" s="6" t="inlineStr">
        <is>
          <t>1730348040206059120</t>
        </is>
      </c>
      <c r="E214" s="4" t="n">
        <v>100</v>
      </c>
      <c r="F214" s="5" t="inlineStr">
        <is>
          <t>Tidak tertera</t>
        </is>
      </c>
      <c r="G214" s="7" t="inlineStr">
        <is>
          <t>—</t>
        </is>
      </c>
      <c r="H214" s="7">
        <f>IF(OR($E214="—",$G214="—"),"—",ROUND($G214/$E214,0))</f>
        <v/>
      </c>
      <c r="I214" s="8" t="n">
        <v>0</v>
      </c>
      <c r="J214" s="7" t="n">
        <v>0</v>
      </c>
      <c r="K214" s="5" t="inlineStr">
        <is>
          <t>Sencha (green tea)</t>
        </is>
      </c>
      <c r="L214" s="5" t="inlineStr">
        <is>
          <t>—</t>
        </is>
      </c>
      <c r="M214" s="4" t="inlineStr">
        <is>
          <t>—</t>
        </is>
      </c>
    </row>
    <row r="215">
      <c r="A215" s="4" t="n">
        <v>211</v>
      </c>
      <c r="B215" s="5" t="inlineStr">
        <is>
          <t>Matchamu</t>
        </is>
      </c>
      <c r="C215" s="5" t="inlineStr">
        <is>
          <t>Matchamu Bundle Matcha Kana Ceremonial 100gr + Matcha Komorebi 100gr</t>
        </is>
      </c>
      <c r="D215" s="6" t="inlineStr">
        <is>
          <t>1734979558282724976</t>
        </is>
      </c>
      <c r="E215" s="4" t="n">
        <v>100</v>
      </c>
      <c r="F215" s="5" t="inlineStr">
        <is>
          <t>Tidak tertera</t>
        </is>
      </c>
      <c r="G215" s="7" t="inlineStr">
        <is>
          <t>—</t>
        </is>
      </c>
      <c r="H215" s="7">
        <f>IF(OR($E215="—",$G215="—"),"—",ROUND($G215/$E215,0))</f>
        <v/>
      </c>
      <c r="I215" s="8" t="n">
        <v>0</v>
      </c>
      <c r="J215" s="7" t="n">
        <v>0</v>
      </c>
      <c r="K215" s="5" t="inlineStr">
        <is>
          <t>Matcha</t>
        </is>
      </c>
      <c r="L215" s="5" t="inlineStr">
        <is>
          <t>Ceremonial</t>
        </is>
      </c>
      <c r="M215" s="9" t="n">
        <v>1</v>
      </c>
    </row>
    <row r="216">
      <c r="A216" s="4" t="n">
        <v>212</v>
      </c>
      <c r="B216" s="5" t="inlineStr">
        <is>
          <t>PIKULABS</t>
        </is>
      </c>
      <c r="C216" s="5" t="inlineStr">
        <is>
          <t>[OFFICIAL STORE] PikuLabs Pure Matcha Powder 100gr \ | 100% Pure, No Additives</t>
        </is>
      </c>
      <c r="D216" s="6" t="inlineStr">
        <is>
          <t>1731289280380176268</t>
        </is>
      </c>
      <c r="E216" s="4" t="n">
        <v>100</v>
      </c>
      <c r="F216" s="5" t="inlineStr">
        <is>
          <t>Tidak tertera</t>
        </is>
      </c>
      <c r="G216" s="7" t="n">
        <v>98047</v>
      </c>
      <c r="H216" s="7">
        <f>IF(OR($E216="—",$G216="—"),"—",ROUND($G216/$E216,0))</f>
        <v/>
      </c>
      <c r="I216" s="8" t="n">
        <v>1404725633</v>
      </c>
      <c r="J216" s="7" t="n">
        <v>14327</v>
      </c>
      <c r="K216" s="5" t="inlineStr">
        <is>
          <t>Matcha</t>
        </is>
      </c>
      <c r="L216" s="5" t="inlineStr">
        <is>
          <t>Grade tidak disebut</t>
        </is>
      </c>
      <c r="M216" s="10" t="n">
        <v>4</v>
      </c>
    </row>
    <row r="217">
      <c r="A217" s="4" t="n">
        <v>213</v>
      </c>
      <c r="B217" s="5" t="inlineStr">
        <is>
          <t>PIKULABS</t>
        </is>
      </c>
      <c r="C217" s="5" t="inlineStr">
        <is>
          <t>[OFFICIAL STORE] PIKULABS - Pure Matcha</t>
        </is>
      </c>
      <c r="D217" s="6" t="inlineStr">
        <is>
          <t>1735516783355725708</t>
        </is>
      </c>
      <c r="E217" s="4" t="inlineStr">
        <is>
          <t>—</t>
        </is>
      </c>
      <c r="F217" s="5" t="inlineStr">
        <is>
          <t>Tidak tertera</t>
        </is>
      </c>
      <c r="G217" s="7" t="n">
        <v>105184</v>
      </c>
      <c r="H217" s="7">
        <f>IF(OR($E217="—",$G217="—"),"—",ROUND($G217/$E217,0))</f>
        <v/>
      </c>
      <c r="I217" s="8" t="n">
        <v>202374140</v>
      </c>
      <c r="J217" s="7" t="n">
        <v>1924</v>
      </c>
      <c r="K217" s="5" t="inlineStr">
        <is>
          <t>Matcha</t>
        </is>
      </c>
      <c r="L217" s="5" t="inlineStr">
        <is>
          <t>Grade tidak disebut</t>
        </is>
      </c>
      <c r="M217" s="10" t="n">
        <v>4</v>
      </c>
    </row>
    <row r="218">
      <c r="A218" s="4" t="n">
        <v>214</v>
      </c>
      <c r="B218" s="5" t="inlineStr">
        <is>
          <t>PIKULABS</t>
        </is>
      </c>
      <c r="C218" s="5" t="inlineStr">
        <is>
          <t>[2pcs] PIKULABS - Pure Matcha [Official Store]</t>
        </is>
      </c>
      <c r="D218" s="6" t="inlineStr">
        <is>
          <t>1733483332828956556</t>
        </is>
      </c>
      <c r="E218" s="4" t="inlineStr">
        <is>
          <t>—</t>
        </is>
      </c>
      <c r="F218" s="5" t="inlineStr">
        <is>
          <t>Tidak tertera</t>
        </is>
      </c>
      <c r="G218" s="7" t="n">
        <v>223205</v>
      </c>
      <c r="H218" s="7">
        <f>IF(OR($E218="—",$G218="—"),"—",ROUND($G218/$E218,0))</f>
        <v/>
      </c>
      <c r="I218" s="8" t="n">
        <v>120084458</v>
      </c>
      <c r="J218" s="7" t="n">
        <v>538</v>
      </c>
      <c r="K218" s="5" t="inlineStr">
        <is>
          <t>Matcha</t>
        </is>
      </c>
      <c r="L218" s="5" t="inlineStr">
        <is>
          <t>Grade tidak disebut</t>
        </is>
      </c>
      <c r="M218" s="10" t="n">
        <v>4</v>
      </c>
    </row>
    <row r="219">
      <c r="A219" s="4" t="n">
        <v>215</v>
      </c>
      <c r="B219" s="5" t="inlineStr">
        <is>
          <t>PIKULABS</t>
        </is>
      </c>
      <c r="C219" s="5" t="inlineStr">
        <is>
          <t>[3pcs] PIKULABS - Pure Matcha [Official Store]</t>
        </is>
      </c>
      <c r="D219" s="6" t="inlineStr">
        <is>
          <t>1733483291378747276</t>
        </is>
      </c>
      <c r="E219" s="4" t="inlineStr">
        <is>
          <t>—</t>
        </is>
      </c>
      <c r="F219" s="5" t="inlineStr">
        <is>
          <t>Tidak tertera</t>
        </is>
      </c>
      <c r="G219" s="7" t="n">
        <v>345602</v>
      </c>
      <c r="H219" s="7">
        <f>IF(OR($E219="—",$G219="—"),"—",ROUND($G219/$E219,0))</f>
        <v/>
      </c>
      <c r="I219" s="8" t="n">
        <v>43891464</v>
      </c>
      <c r="J219" s="7" t="n">
        <v>127</v>
      </c>
      <c r="K219" s="5" t="inlineStr">
        <is>
          <t>Matcha</t>
        </is>
      </c>
      <c r="L219" s="5" t="inlineStr">
        <is>
          <t>Grade tidak disebut</t>
        </is>
      </c>
      <c r="M219" s="10" t="n">
        <v>4</v>
      </c>
    </row>
    <row r="220">
      <c r="A220" s="13" t="n"/>
      <c r="B220" s="14" t="inlineStr">
        <is>
          <t>TOTAL</t>
        </is>
      </c>
      <c r="C220" s="13" t="n"/>
      <c r="D220" s="13" t="n"/>
      <c r="E220" s="13" t="n"/>
      <c r="F220" s="13" t="n"/>
      <c r="G220" s="13" t="n"/>
      <c r="H220" s="13" t="n"/>
      <c r="I220" s="15">
        <f>SUM(I5:I219)</f>
        <v/>
      </c>
      <c r="J220" s="15">
        <f>SUM(J5:J219)</f>
        <v/>
      </c>
      <c r="K220" s="13" t="n"/>
      <c r="L220" s="13" t="n"/>
      <c r="M220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20" customWidth="1" min="4" max="4"/>
    <col width="10" customWidth="1" min="5" max="5"/>
    <col width="14" customWidth="1" min="6" max="6"/>
    <col width="14" customWidth="1" min="7" max="7"/>
    <col width="13" customWidth="1" min="8" max="8"/>
    <col width="18" customWidth="1" min="9" max="9"/>
    <col width="12" customWidth="1" min="10" max="10"/>
    <col width="22" customWidth="1" min="11" max="11"/>
    <col width="20" customWidth="1" min="12" max="12"/>
    <col width="9" customWidth="1" min="13" max="13"/>
  </cols>
  <sheetData>
    <row r="1">
      <c r="A1" s="1" t="inlineStr">
        <is>
          <t>Produk MATCHA Saja — Diurutkan per Tier (1=Ceremonial ... 4=Grade tidak disebut)</t>
        </is>
      </c>
    </row>
    <row r="2">
      <c r="A2" s="2" t="inlineStr">
        <is>
          <t>67 SKU matcha dari 5 brand | Tier by keyword di nama produk; cek kolom Harga/gram sebagai pembanding objektif</t>
        </is>
      </c>
    </row>
    <row r="4">
      <c r="A4" s="3" t="inlineStr">
        <is>
          <t>No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</t>
        </is>
      </c>
      <c r="M4" s="3" t="inlineStr">
        <is>
          <t>Tier Rank</t>
        </is>
      </c>
    </row>
    <row r="5">
      <c r="A5" s="4" t="n">
        <v>1</v>
      </c>
      <c r="B5" s="5" t="inlineStr">
        <is>
          <t>Matchamu</t>
        </is>
      </c>
      <c r="C5" s="5" t="inlineStr">
        <is>
          <t>Matchamu Kana Ceremonial Matcha Powder 500gr</t>
        </is>
      </c>
      <c r="D5" s="6" t="inlineStr">
        <is>
          <t>1735899549646751344</t>
        </is>
      </c>
      <c r="E5" s="4" t="n">
        <v>500</v>
      </c>
      <c r="F5" s="5" t="inlineStr">
        <is>
          <t>Tidak tertera</t>
        </is>
      </c>
      <c r="G5" s="7" t="n">
        <v>1421165</v>
      </c>
      <c r="H5" s="7">
        <f>IF(OR($E5="—",$G5="—"),"—",ROUND($G5/$E5,0))</f>
        <v/>
      </c>
      <c r="I5" s="8" t="n">
        <v>203226617</v>
      </c>
      <c r="J5" s="7" t="n">
        <v>143</v>
      </c>
      <c r="K5" s="5" t="inlineStr">
        <is>
          <t>Matcha</t>
        </is>
      </c>
      <c r="L5" s="5" t="inlineStr">
        <is>
          <t>Ceremonial</t>
        </is>
      </c>
      <c r="M5" s="9" t="n">
        <v>1</v>
      </c>
    </row>
    <row r="6">
      <c r="A6" s="4" t="n">
        <v>2</v>
      </c>
      <c r="B6" s="5" t="inlineStr">
        <is>
          <t>Matchamu</t>
        </is>
      </c>
      <c r="C6" s="5" t="inlineStr">
        <is>
          <t>Matchamu Matcha Powder Kana Ceremonial Grade Tincan 40gr</t>
        </is>
      </c>
      <c r="D6" s="6" t="inlineStr">
        <is>
          <t>1730510040493033072</t>
        </is>
      </c>
      <c r="E6" s="4" t="n">
        <v>40</v>
      </c>
      <c r="F6" s="5" t="inlineStr">
        <is>
          <t>Tin Can</t>
        </is>
      </c>
      <c r="G6" s="7" t="n">
        <v>217734</v>
      </c>
      <c r="H6" s="7">
        <f>IF(OR($E6="—",$G6="—"),"—",ROUND($G6/$E6,0))</f>
        <v/>
      </c>
      <c r="I6" s="8" t="n">
        <v>47683664</v>
      </c>
      <c r="J6" s="7" t="n">
        <v>219</v>
      </c>
      <c r="K6" s="5" t="inlineStr">
        <is>
          <t>Matcha</t>
        </is>
      </c>
      <c r="L6" s="5" t="inlineStr">
        <is>
          <t>Ceremonial</t>
        </is>
      </c>
      <c r="M6" s="9" t="n">
        <v>1</v>
      </c>
    </row>
    <row r="7">
      <c r="A7" s="4" t="n">
        <v>3</v>
      </c>
      <c r="B7" s="5" t="inlineStr">
        <is>
          <t>Matchamu</t>
        </is>
      </c>
      <c r="C7" s="5" t="inlineStr">
        <is>
          <t>Matchamu Matcha First Harvest Series</t>
        </is>
      </c>
      <c r="D7" s="6" t="inlineStr">
        <is>
          <t>1734411130373834352</t>
        </is>
      </c>
      <c r="E7" s="4" t="inlineStr">
        <is>
          <t>—</t>
        </is>
      </c>
      <c r="F7" s="5" t="inlineStr">
        <is>
          <t>Tidak tertera</t>
        </is>
      </c>
      <c r="G7" s="7" t="n">
        <v>57783</v>
      </c>
      <c r="H7" s="7">
        <f>IF(OR($E7="—",$G7="—"),"—",ROUND($G7/$E7,0))</f>
        <v/>
      </c>
      <c r="I7" s="8" t="n">
        <v>13058950</v>
      </c>
      <c r="J7" s="7" t="n">
        <v>226</v>
      </c>
      <c r="K7" s="5" t="inlineStr">
        <is>
          <t>Matcha</t>
        </is>
      </c>
      <c r="L7" s="5" t="inlineStr">
        <is>
          <t>First Harvest (premium)</t>
        </is>
      </c>
      <c r="M7" s="9" t="n">
        <v>1</v>
      </c>
    </row>
    <row r="8">
      <c r="A8" s="4" t="n">
        <v>4</v>
      </c>
      <c r="B8" s="5" t="inlineStr">
        <is>
          <t>Homelab</t>
        </is>
      </c>
      <c r="C8" s="5" t="inlineStr">
        <is>
          <t>Homelab Yukata 100%  Pure Ceremonial Grade Matcha Powder - Bubuk Minuman Matcha 100g</t>
        </is>
      </c>
      <c r="D8" s="6" t="inlineStr">
        <is>
          <t>1732273297021830724</t>
        </is>
      </c>
      <c r="E8" s="4" t="n">
        <v>100</v>
      </c>
      <c r="F8" s="5" t="inlineStr">
        <is>
          <t>Tidak tertera</t>
        </is>
      </c>
      <c r="G8" s="7" t="n">
        <v>177998</v>
      </c>
      <c r="H8" s="7">
        <f>IF(OR($E8="—",$G8="—"),"—",ROUND($G8/$E8,0))</f>
        <v/>
      </c>
      <c r="I8" s="8" t="n">
        <v>12637887</v>
      </c>
      <c r="J8" s="7" t="n">
        <v>71</v>
      </c>
      <c r="K8" s="5" t="inlineStr">
        <is>
          <t>Matcha</t>
        </is>
      </c>
      <c r="L8" s="5" t="inlineStr">
        <is>
          <t>Ceremonial</t>
        </is>
      </c>
      <c r="M8" s="9" t="n">
        <v>1</v>
      </c>
    </row>
    <row r="9">
      <c r="A9" s="4" t="n">
        <v>5</v>
      </c>
      <c r="B9" s="5" t="inlineStr">
        <is>
          <t>Matchamu</t>
        </is>
      </c>
      <c r="C9" s="5" t="inlineStr">
        <is>
          <t>Matchamu Kyogetsu Ceremonial Matcha Powder</t>
        </is>
      </c>
      <c r="D9" s="6" t="inlineStr">
        <is>
          <t>1733205680125019760</t>
        </is>
      </c>
      <c r="E9" s="4" t="inlineStr">
        <is>
          <t>—</t>
        </is>
      </c>
      <c r="F9" s="5" t="inlineStr">
        <is>
          <t>Tidak tertera</t>
        </is>
      </c>
      <c r="G9" s="7" t="n">
        <v>65616</v>
      </c>
      <c r="H9" s="7">
        <f>IF(OR($E9="—",$G9="—"),"—",ROUND($G9/$E9,0))</f>
        <v/>
      </c>
      <c r="I9" s="8" t="n">
        <v>6364748</v>
      </c>
      <c r="J9" s="7" t="n">
        <v>97</v>
      </c>
      <c r="K9" s="5" t="inlineStr">
        <is>
          <t>Matcha</t>
        </is>
      </c>
      <c r="L9" s="5" t="inlineStr">
        <is>
          <t>Ceremonial</t>
        </is>
      </c>
      <c r="M9" s="9" t="n">
        <v>1</v>
      </c>
    </row>
    <row r="10">
      <c r="A10" s="4" t="n">
        <v>6</v>
      </c>
      <c r="B10" s="5" t="inlineStr">
        <is>
          <t>Beeru</t>
        </is>
      </c>
      <c r="C10" s="5" t="inlineStr">
        <is>
          <t>Beeru Ceremonial Matcha Jepang u.01 30gr</t>
        </is>
      </c>
      <c r="D10" s="6" t="inlineStr">
        <is>
          <t>1733794794123331393</t>
        </is>
      </c>
      <c r="E10" s="4" t="n">
        <v>30</v>
      </c>
      <c r="F10" s="5" t="inlineStr">
        <is>
          <t>Tidak tertera</t>
        </is>
      </c>
      <c r="G10" s="7" t="n">
        <v>345161</v>
      </c>
      <c r="H10" s="7">
        <f>IF(OR($E10="—",$G10="—"),"—",ROUND($G10/$E10,0))</f>
        <v/>
      </c>
      <c r="I10" s="8" t="n">
        <v>4487094</v>
      </c>
      <c r="J10" s="7" t="n">
        <v>13</v>
      </c>
      <c r="K10" s="5" t="inlineStr">
        <is>
          <t>Matcha</t>
        </is>
      </c>
      <c r="L10" s="5" t="inlineStr">
        <is>
          <t>Ceremonial</t>
        </is>
      </c>
      <c r="M10" s="9" t="n">
        <v>1</v>
      </c>
    </row>
    <row r="11">
      <c r="A11" s="4" t="n">
        <v>7</v>
      </c>
      <c r="B11" s="5" t="inlineStr">
        <is>
          <t>Homelab</t>
        </is>
      </c>
      <c r="C11" s="5" t="inlineStr">
        <is>
          <t>Homelab Washo 100% Organic Pure Ceremonial Grade Matcha Powder - Bubuk</t>
        </is>
      </c>
      <c r="D11" s="6" t="inlineStr">
        <is>
          <t>1730557157934007876</t>
        </is>
      </c>
      <c r="E11" s="4" t="inlineStr">
        <is>
          <t>—</t>
        </is>
      </c>
      <c r="F11" s="5" t="inlineStr">
        <is>
          <t>Tidak tertera</t>
        </is>
      </c>
      <c r="G11" s="7" t="n">
        <v>557565</v>
      </c>
      <c r="H11" s="7">
        <f>IF(OR($E11="—",$G11="—"),"—",ROUND($G11/$E11,0))</f>
        <v/>
      </c>
      <c r="I11" s="8" t="n">
        <v>3902954</v>
      </c>
      <c r="J11" s="7" t="n">
        <v>7</v>
      </c>
      <c r="K11" s="5" t="inlineStr">
        <is>
          <t>Matcha</t>
        </is>
      </c>
      <c r="L11" s="5" t="inlineStr">
        <is>
          <t>Ceremonial</t>
        </is>
      </c>
      <c r="M11" s="9" t="n">
        <v>1</v>
      </c>
    </row>
    <row r="12">
      <c r="A12" s="4" t="n">
        <v>8</v>
      </c>
      <c r="B12" s="5" t="inlineStr">
        <is>
          <t>Matchamu</t>
        </is>
      </c>
      <c r="C12" s="5" t="inlineStr">
        <is>
          <t>Matchamu Bundling Matcha Kana Ceremonial 100gr + Matcha Komorebi 100gr</t>
        </is>
      </c>
      <c r="D12" s="6" t="inlineStr">
        <is>
          <t>1733826365459039856</t>
        </is>
      </c>
      <c r="E12" s="4" t="n">
        <v>100</v>
      </c>
      <c r="F12" s="5" t="inlineStr">
        <is>
          <t>Tidak tertera</t>
        </is>
      </c>
      <c r="G12" s="7" t="n">
        <v>414641</v>
      </c>
      <c r="H12" s="7">
        <f>IF(OR($E12="—",$G12="—"),"—",ROUND($G12/$E12,0))</f>
        <v/>
      </c>
      <c r="I12" s="8" t="n">
        <v>3317129</v>
      </c>
      <c r="J12" s="7" t="n">
        <v>8</v>
      </c>
      <c r="K12" s="5" t="inlineStr">
        <is>
          <t>Matcha</t>
        </is>
      </c>
      <c r="L12" s="5" t="inlineStr">
        <is>
          <t>Ceremonial</t>
        </is>
      </c>
      <c r="M12" s="9" t="n">
        <v>1</v>
      </c>
    </row>
    <row r="13">
      <c r="A13" s="4" t="n">
        <v>9</v>
      </c>
      <c r="B13" s="5" t="inlineStr">
        <is>
          <t>Beeru</t>
        </is>
      </c>
      <c r="C13" s="5" t="inlineStr">
        <is>
          <t>Beeru Ceremonial Matcha Alt E.02 30gr</t>
        </is>
      </c>
      <c r="D13" s="6" t="inlineStr">
        <is>
          <t>1733014147823404865</t>
        </is>
      </c>
      <c r="E13" s="4" t="n">
        <v>30</v>
      </c>
      <c r="F13" s="5" t="inlineStr">
        <is>
          <t>Tidak tertera</t>
        </is>
      </c>
      <c r="G13" s="7" t="n">
        <v>171142</v>
      </c>
      <c r="H13" s="7">
        <f>IF(OR($E13="—",$G13="—"),"—",ROUND($G13/$E13,0))</f>
        <v/>
      </c>
      <c r="I13" s="8" t="n">
        <v>2567124</v>
      </c>
      <c r="J13" s="7" t="n">
        <v>15</v>
      </c>
      <c r="K13" s="5" t="inlineStr">
        <is>
          <t>Matcha</t>
        </is>
      </c>
      <c r="L13" s="5" t="inlineStr">
        <is>
          <t>Ceremonial</t>
        </is>
      </c>
      <c r="M13" s="9" t="n">
        <v>1</v>
      </c>
    </row>
    <row r="14">
      <c r="A14" s="4" t="n">
        <v>10</v>
      </c>
      <c r="B14" s="5" t="inlineStr">
        <is>
          <t>Homelab</t>
        </is>
      </c>
      <c r="C14" s="5" t="inlineStr">
        <is>
          <t>Homelab Matcha Ceremonial Grade 30g Powder - Bubuk Minuman Premium Matcha Ceremonial</t>
        </is>
      </c>
      <c r="D14" s="6" t="inlineStr">
        <is>
          <t>1732273487753414212</t>
        </is>
      </c>
      <c r="E14" s="4" t="n">
        <v>30</v>
      </c>
      <c r="F14" s="5" t="inlineStr">
        <is>
          <t>Tidak tertera</t>
        </is>
      </c>
      <c r="G14" s="7" t="n">
        <v>119576</v>
      </c>
      <c r="H14" s="7">
        <f>IF(OR($E14="—",$G14="—"),"—",ROUND($G14/$E14,0))</f>
        <v/>
      </c>
      <c r="I14" s="8" t="n">
        <v>2271945</v>
      </c>
      <c r="J14" s="7" t="n">
        <v>19</v>
      </c>
      <c r="K14" s="5" t="inlineStr">
        <is>
          <t>Matcha</t>
        </is>
      </c>
      <c r="L14" s="5" t="inlineStr">
        <is>
          <t>Ceremonial</t>
        </is>
      </c>
      <c r="M14" s="9" t="n">
        <v>1</v>
      </c>
    </row>
    <row r="15">
      <c r="A15" s="4" t="n">
        <v>11</v>
      </c>
      <c r="B15" s="5" t="inlineStr">
        <is>
          <t>Matchamu</t>
        </is>
      </c>
      <c r="C15" s="5" t="inlineStr">
        <is>
          <t>Matchamu Kannabi no Kami Ceremonial Matcha Powder 30gr</t>
        </is>
      </c>
      <c r="D15" s="6" t="inlineStr">
        <is>
          <t>1733205463356245616</t>
        </is>
      </c>
      <c r="E15" s="4" t="n">
        <v>30</v>
      </c>
      <c r="F15" s="5" t="inlineStr">
        <is>
          <t>Tidak tertera</t>
        </is>
      </c>
      <c r="G15" s="7" t="n">
        <v>154456</v>
      </c>
      <c r="H15" s="7">
        <f>IF(OR($E15="—",$G15="—"),"—",ROUND($G15/$E15,0))</f>
        <v/>
      </c>
      <c r="I15" s="8" t="n">
        <v>1235651</v>
      </c>
      <c r="J15" s="7" t="n">
        <v>8</v>
      </c>
      <c r="K15" s="5" t="inlineStr">
        <is>
          <t>Matcha</t>
        </is>
      </c>
      <c r="L15" s="5" t="inlineStr">
        <is>
          <t>Ceremonial</t>
        </is>
      </c>
      <c r="M15" s="9" t="n">
        <v>1</v>
      </c>
    </row>
    <row r="16">
      <c r="A16" s="4" t="n">
        <v>12</v>
      </c>
      <c r="B16" s="5" t="inlineStr">
        <is>
          <t>Beeru</t>
        </is>
      </c>
      <c r="C16" s="5" t="inlineStr">
        <is>
          <t>Beeru Ceremonial Matcha Alt E.01 30gr</t>
        </is>
      </c>
      <c r="D16" s="6" t="inlineStr">
        <is>
          <t>1733014159740340033</t>
        </is>
      </c>
      <c r="E16" s="4" t="n">
        <v>30</v>
      </c>
      <c r="F16" s="5" t="inlineStr">
        <is>
          <t>Tidak tertera</t>
        </is>
      </c>
      <c r="G16" s="7" t="n">
        <v>170930</v>
      </c>
      <c r="H16" s="7">
        <f>IF(OR($E16="—",$G16="—"),"—",ROUND($G16/$E16,0))</f>
        <v/>
      </c>
      <c r="I16" s="8" t="n">
        <v>1025581</v>
      </c>
      <c r="J16" s="7" t="n">
        <v>6</v>
      </c>
      <c r="K16" s="5" t="inlineStr">
        <is>
          <t>Matcha</t>
        </is>
      </c>
      <c r="L16" s="5" t="inlineStr">
        <is>
          <t>Ceremonial</t>
        </is>
      </c>
      <c r="M16" s="9" t="n">
        <v>1</v>
      </c>
    </row>
    <row r="17">
      <c r="A17" s="4" t="n">
        <v>13</v>
      </c>
      <c r="B17" s="5" t="inlineStr">
        <is>
          <t>Matchamu</t>
        </is>
      </c>
      <c r="C17" s="5" t="inlineStr">
        <is>
          <t>Matchamu Ki Ceremonial Matcha Powder</t>
        </is>
      </c>
      <c r="D17" s="6" t="inlineStr">
        <is>
          <t>1733205306515687024</t>
        </is>
      </c>
      <c r="E17" s="4" t="inlineStr">
        <is>
          <t>—</t>
        </is>
      </c>
      <c r="F17" s="5" t="inlineStr">
        <is>
          <t>Tidak tertera</t>
        </is>
      </c>
      <c r="G17" s="7" t="n">
        <v>76680</v>
      </c>
      <c r="H17" s="7">
        <f>IF(OR($E17="—",$G17="—"),"—",ROUND($G17/$E17,0))</f>
        <v/>
      </c>
      <c r="I17" s="8" t="n">
        <v>843484</v>
      </c>
      <c r="J17" s="7" t="n">
        <v>11</v>
      </c>
      <c r="K17" s="5" t="inlineStr">
        <is>
          <t>Matcha</t>
        </is>
      </c>
      <c r="L17" s="5" t="inlineStr">
        <is>
          <t>Ceremonial</t>
        </is>
      </c>
      <c r="M17" s="9" t="n">
        <v>1</v>
      </c>
    </row>
    <row r="18">
      <c r="A18" s="4" t="n">
        <v>14</v>
      </c>
      <c r="B18" s="5" t="inlineStr">
        <is>
          <t>Matchamu</t>
        </is>
      </c>
      <c r="C18" s="5" t="inlineStr">
        <is>
          <t>Matchamu Bundling Matcha Kana Tincan Ceremonial 40gr + Matcha Komorebi 100gr</t>
        </is>
      </c>
      <c r="D18" s="6" t="inlineStr">
        <is>
          <t>1733826267636860528</t>
        </is>
      </c>
      <c r="E18" s="4" t="n">
        <v>40</v>
      </c>
      <c r="F18" s="5" t="inlineStr">
        <is>
          <t>Tin Can</t>
        </is>
      </c>
      <c r="G18" s="7" t="n">
        <v>336341</v>
      </c>
      <c r="H18" s="7">
        <f>IF(OR($E18="—",$G18="—"),"—",ROUND($G18/$E18,0))</f>
        <v/>
      </c>
      <c r="I18" s="8" t="n">
        <v>672683</v>
      </c>
      <c r="J18" s="7" t="n">
        <v>2</v>
      </c>
      <c r="K18" s="5" t="inlineStr">
        <is>
          <t>Matcha</t>
        </is>
      </c>
      <c r="L18" s="5" t="inlineStr">
        <is>
          <t>Ceremonial</t>
        </is>
      </c>
      <c r="M18" s="9" t="n">
        <v>1</v>
      </c>
    </row>
    <row r="19">
      <c r="A19" s="4" t="n">
        <v>15</v>
      </c>
      <c r="B19" s="5" t="inlineStr">
        <is>
          <t>Homelab</t>
        </is>
      </c>
      <c r="C19" s="5" t="inlineStr">
        <is>
          <t>Ceremonial Matcha Japan Ipoddo, Attelier, Tsujiri, Shohokuen- Bubuk matcha ceremonial grade Jepang</t>
        </is>
      </c>
      <c r="D19" s="6" t="inlineStr">
        <is>
          <t>1731183904703940164</t>
        </is>
      </c>
      <c r="E19" s="4" t="inlineStr">
        <is>
          <t>—</t>
        </is>
      </c>
      <c r="F19" s="5" t="inlineStr">
        <is>
          <t>Tidak tertera</t>
        </is>
      </c>
      <c r="G19" s="7" t="n">
        <v>575342</v>
      </c>
      <c r="H19" s="7">
        <f>IF(OR($E19="—",$G19="—"),"—",ROUND($G19/$E19,0))</f>
        <v/>
      </c>
      <c r="I19" s="8" t="n">
        <v>575342</v>
      </c>
      <c r="J19" s="7" t="n">
        <v>1</v>
      </c>
      <c r="K19" s="5" t="inlineStr">
        <is>
          <t>Matcha</t>
        </is>
      </c>
      <c r="L19" s="5" t="inlineStr">
        <is>
          <t>Ceremonial</t>
        </is>
      </c>
      <c r="M19" s="9" t="n">
        <v>1</v>
      </c>
    </row>
    <row r="20">
      <c r="A20" s="4" t="n">
        <v>16</v>
      </c>
      <c r="B20" s="5" t="inlineStr">
        <is>
          <t>Homelab</t>
        </is>
      </c>
      <c r="C20" s="5" t="inlineStr">
        <is>
          <t>Homelab – Ujinoko Uji Kyoto Premium Ceremonial Matcha (20g)</t>
        </is>
      </c>
      <c r="D20" s="6" t="inlineStr">
        <is>
          <t>1734489935564080708</t>
        </is>
      </c>
      <c r="E20" s="4" t="n">
        <v>20</v>
      </c>
      <c r="F20" s="5" t="inlineStr">
        <is>
          <t>Tidak tertera</t>
        </is>
      </c>
      <c r="G20" s="7" t="n">
        <v>240243</v>
      </c>
      <c r="H20" s="7">
        <f>IF(OR($E20="—",$G20="—"),"—",ROUND($G20/$E20,0))</f>
        <v/>
      </c>
      <c r="I20" s="8" t="n">
        <v>240243</v>
      </c>
      <c r="J20" s="7" t="n">
        <v>1</v>
      </c>
      <c r="K20" s="5" t="inlineStr">
        <is>
          <t>Matcha</t>
        </is>
      </c>
      <c r="L20" s="5" t="inlineStr">
        <is>
          <t>Ceremonial</t>
        </is>
      </c>
      <c r="M20" s="9" t="n">
        <v>1</v>
      </c>
    </row>
    <row r="21">
      <c r="A21" s="4" t="n">
        <v>17</v>
      </c>
      <c r="B21" s="5" t="inlineStr">
        <is>
          <t>Homelab</t>
        </is>
      </c>
      <c r="C21" s="5" t="inlineStr">
        <is>
          <t>Homelab – Tenarai Uji Kyoto Ceremonial Matcha High Grade (20g)</t>
        </is>
      </c>
      <c r="D21" s="6" t="inlineStr">
        <is>
          <t>1734498182578406980</t>
        </is>
      </c>
      <c r="E21" s="4" t="n">
        <v>20</v>
      </c>
      <c r="F21" s="5" t="inlineStr">
        <is>
          <t>Tidak tertera</t>
        </is>
      </c>
      <c r="G21" s="7" t="n">
        <v>140794</v>
      </c>
      <c r="H21" s="7">
        <f>IF(OR($E21="—",$G21="—"),"—",ROUND($G21/$E21,0))</f>
        <v/>
      </c>
      <c r="I21" s="8" t="n">
        <v>140794</v>
      </c>
      <c r="J21" s="7" t="n">
        <v>1</v>
      </c>
      <c r="K21" s="5" t="inlineStr">
        <is>
          <t>Matcha</t>
        </is>
      </c>
      <c r="L21" s="5" t="inlineStr">
        <is>
          <t>Ceremonial</t>
        </is>
      </c>
      <c r="M21" s="9" t="n">
        <v>1</v>
      </c>
    </row>
    <row r="22">
      <c r="A22" s="4" t="n">
        <v>18</v>
      </c>
      <c r="B22" s="5" t="inlineStr">
        <is>
          <t>Matchamu</t>
        </is>
      </c>
      <c r="C22" s="5" t="inlineStr">
        <is>
          <t>Matchamu Bundle Matcha Kana Ceremonial 100gr + Matcha Komorebi 100gr</t>
        </is>
      </c>
      <c r="D22" s="6" t="inlineStr">
        <is>
          <t>1734979558282724976</t>
        </is>
      </c>
      <c r="E22" s="4" t="n">
        <v>100</v>
      </c>
      <c r="F22" s="5" t="inlineStr">
        <is>
          <t>Tidak tertera</t>
        </is>
      </c>
      <c r="G22" s="7" t="inlineStr">
        <is>
          <t>—</t>
        </is>
      </c>
      <c r="H22" s="7">
        <f>IF(OR($E22="—",$G22="—"),"—",ROUND($G22/$E22,0))</f>
        <v/>
      </c>
      <c r="I22" s="8" t="n">
        <v>0</v>
      </c>
      <c r="J22" s="7" t="n">
        <v>0</v>
      </c>
      <c r="K22" s="5" t="inlineStr">
        <is>
          <t>Matcha</t>
        </is>
      </c>
      <c r="L22" s="5" t="inlineStr">
        <is>
          <t>Ceremonial</t>
        </is>
      </c>
      <c r="M22" s="9" t="n">
        <v>1</v>
      </c>
    </row>
    <row r="23">
      <c r="A23" s="4" t="n">
        <v>19</v>
      </c>
      <c r="B23" s="5" t="inlineStr">
        <is>
          <t>Homelab</t>
        </is>
      </c>
      <c r="C23" s="5" t="inlineStr">
        <is>
          <t>100% PURE UJI MATCHA Japan - Bubuk Matcha Premium Grade - 1KG</t>
        </is>
      </c>
      <c r="D23" s="6" t="inlineStr">
        <is>
          <t>1730557013401765444</t>
        </is>
      </c>
      <c r="E23" s="4" t="n">
        <v>1000</v>
      </c>
      <c r="F23" s="5" t="inlineStr">
        <is>
          <t>Tidak tertera</t>
        </is>
      </c>
      <c r="G23" s="7" t="n">
        <v>1494879</v>
      </c>
      <c r="H23" s="7">
        <f>IF(OR($E23="—",$G23="—"),"—",ROUND($G23/$E23,0))</f>
        <v/>
      </c>
      <c r="I23" s="8" t="n">
        <v>92682512</v>
      </c>
      <c r="J23" s="7" t="n">
        <v>62</v>
      </c>
      <c r="K23" s="5" t="inlineStr">
        <is>
          <t>Matcha</t>
        </is>
      </c>
      <c r="L23" s="5" t="inlineStr">
        <is>
          <t>Premium</t>
        </is>
      </c>
      <c r="M23" s="12" t="n">
        <v>2</v>
      </c>
    </row>
    <row r="24">
      <c r="A24" s="4" t="n">
        <v>20</v>
      </c>
      <c r="B24" s="5" t="inlineStr">
        <is>
          <t>Beeru</t>
        </is>
      </c>
      <c r="C24" s="5" t="inlineStr">
        <is>
          <t>Beeru Pure Matcha Powder 50gr - 100% Bubuk Matcha Premium Japan</t>
        </is>
      </c>
      <c r="D24" s="6" t="inlineStr">
        <is>
          <t>1729563573420984129</t>
        </is>
      </c>
      <c r="E24" s="4" t="n">
        <v>50</v>
      </c>
      <c r="F24" s="5" t="inlineStr">
        <is>
          <t>Tidak tertera</t>
        </is>
      </c>
      <c r="G24" s="7" t="n">
        <v>51519</v>
      </c>
      <c r="H24" s="7">
        <f>IF(OR($E24="—",$G24="—"),"—",ROUND($G24/$E24,0))</f>
        <v/>
      </c>
      <c r="I24" s="8" t="n">
        <v>67490151</v>
      </c>
      <c r="J24" s="7" t="n">
        <v>1310</v>
      </c>
      <c r="K24" s="5" t="inlineStr">
        <is>
          <t>Matcha</t>
        </is>
      </c>
      <c r="L24" s="5" t="inlineStr">
        <is>
          <t>Premium</t>
        </is>
      </c>
      <c r="M24" s="12" t="n">
        <v>2</v>
      </c>
    </row>
    <row r="25">
      <c r="A25" s="4" t="n">
        <v>21</v>
      </c>
      <c r="B25" s="5" t="inlineStr">
        <is>
          <t>Beeru</t>
        </is>
      </c>
      <c r="C25" s="5" t="inlineStr">
        <is>
          <t>Beeru Pure Matcha Powder 100gr - 100% Bubuk Matcha Premium Japan</t>
        </is>
      </c>
      <c r="D25" s="6" t="inlineStr">
        <is>
          <t>1729858085833444161</t>
        </is>
      </c>
      <c r="E25" s="4" t="n">
        <v>100</v>
      </c>
      <c r="F25" s="5" t="inlineStr">
        <is>
          <t>Tidak tertera</t>
        </is>
      </c>
      <c r="G25" s="7" t="n">
        <v>118111</v>
      </c>
      <c r="H25" s="7">
        <f>IF(OR($E25="—",$G25="—"),"—",ROUND($G25/$E25,0))</f>
        <v/>
      </c>
      <c r="I25" s="8" t="n">
        <v>31417585</v>
      </c>
      <c r="J25" s="7" t="n">
        <v>266</v>
      </c>
      <c r="K25" s="5" t="inlineStr">
        <is>
          <t>Matcha</t>
        </is>
      </c>
      <c r="L25" s="5" t="inlineStr">
        <is>
          <t>Premium</t>
        </is>
      </c>
      <c r="M25" s="12" t="n">
        <v>2</v>
      </c>
    </row>
    <row r="26">
      <c r="A26" s="4" t="n">
        <v>22</v>
      </c>
      <c r="B26" s="5" t="inlineStr">
        <is>
          <t>Homelab</t>
        </is>
      </c>
      <c r="C26" s="5" t="inlineStr">
        <is>
          <t>Homelab Bubuk Minuman Matcha Premium / Greentea Matcha Powder - 200 Gr</t>
        </is>
      </c>
      <c r="D26" s="6" t="inlineStr">
        <is>
          <t>1729382763570955844</t>
        </is>
      </c>
      <c r="E26" s="4" t="n">
        <v>200</v>
      </c>
      <c r="F26" s="5" t="inlineStr">
        <is>
          <t>Tidak tertera</t>
        </is>
      </c>
      <c r="G26" s="7" t="n">
        <v>72883</v>
      </c>
      <c r="H26" s="7">
        <f>IF(OR($E26="—",$G26="—"),"—",ROUND($G26/$E26,0))</f>
        <v/>
      </c>
      <c r="I26" s="8" t="n">
        <v>19678287</v>
      </c>
      <c r="J26" s="7" t="n">
        <v>270</v>
      </c>
      <c r="K26" s="5" t="inlineStr">
        <is>
          <t>Matcha</t>
        </is>
      </c>
      <c r="L26" s="5" t="inlineStr">
        <is>
          <t>Premium</t>
        </is>
      </c>
      <c r="M26" s="12" t="n">
        <v>2</v>
      </c>
    </row>
    <row r="27">
      <c r="A27" s="4" t="n">
        <v>23</v>
      </c>
      <c r="B27" s="5" t="inlineStr">
        <is>
          <t>Homelab</t>
        </is>
      </c>
      <c r="C27" s="5" t="inlineStr">
        <is>
          <t>Homelab Bubuk Minuman Matcha Premium / Greentea Matcha Powder - 1 KG</t>
        </is>
      </c>
      <c r="D27" s="6" t="inlineStr">
        <is>
          <t>1729722665112930884</t>
        </is>
      </c>
      <c r="E27" s="4" t="n">
        <v>1000</v>
      </c>
      <c r="F27" s="5" t="inlineStr">
        <is>
          <t>Tidak tertera</t>
        </is>
      </c>
      <c r="G27" s="7" t="n">
        <v>393003</v>
      </c>
      <c r="H27" s="7">
        <f>IF(OR($E27="—",$G27="—"),"—",ROUND($G27/$E27,0))</f>
        <v/>
      </c>
      <c r="I27" s="8" t="n">
        <v>17685157</v>
      </c>
      <c r="J27" s="7" t="n">
        <v>45</v>
      </c>
      <c r="K27" s="5" t="inlineStr">
        <is>
          <t>Matcha</t>
        </is>
      </c>
      <c r="L27" s="5" t="inlineStr">
        <is>
          <t>Premium</t>
        </is>
      </c>
      <c r="M27" s="12" t="n">
        <v>2</v>
      </c>
    </row>
    <row r="28">
      <c r="A28" s="4" t="n">
        <v>24</v>
      </c>
      <c r="B28" s="5" t="inlineStr">
        <is>
          <t>Homelab</t>
        </is>
      </c>
      <c r="C28" s="5" t="inlineStr">
        <is>
          <t>Homelab 100% Pure Matcha 50 gram - Bubuk Matcha Premium Grade 50 gram</t>
        </is>
      </c>
      <c r="D28" s="6" t="inlineStr">
        <is>
          <t>1732044265518564932</t>
        </is>
      </c>
      <c r="E28" s="4" t="n">
        <v>50</v>
      </c>
      <c r="F28" s="5" t="inlineStr">
        <is>
          <t>Tidak tertera</t>
        </is>
      </c>
      <c r="G28" s="7" t="n">
        <v>68425</v>
      </c>
      <c r="H28" s="7">
        <f>IF(OR($E28="—",$G28="—"),"—",ROUND($G28/$E28,0))</f>
        <v/>
      </c>
      <c r="I28" s="8" t="n">
        <v>15532541</v>
      </c>
      <c r="J28" s="7" t="n">
        <v>227</v>
      </c>
      <c r="K28" s="5" t="inlineStr">
        <is>
          <t>Matcha</t>
        </is>
      </c>
      <c r="L28" s="5" t="inlineStr">
        <is>
          <t>Premium</t>
        </is>
      </c>
      <c r="M28" s="12" t="n">
        <v>2</v>
      </c>
    </row>
    <row r="29">
      <c r="A29" s="4" t="n">
        <v>25</v>
      </c>
      <c r="B29" s="5" t="inlineStr">
        <is>
          <t>Matchamu</t>
        </is>
      </c>
      <c r="C29" s="5" t="inlineStr">
        <is>
          <t>Matchamu Matcha Latte (1 box isi 20 sachet) - Minuman Bubuk Premium Matcha Latte Asli Jepang - Organik</t>
        </is>
      </c>
      <c r="D29" s="6" t="inlineStr">
        <is>
          <t>1729420327675464304</t>
        </is>
      </c>
      <c r="E29" s="4" t="inlineStr">
        <is>
          <t>—</t>
        </is>
      </c>
      <c r="F29" s="5" t="inlineStr">
        <is>
          <t>Sachet/Box</t>
        </is>
      </c>
      <c r="G29" s="7" t="n">
        <v>32776</v>
      </c>
      <c r="H29" s="7">
        <f>IF(OR($E29="—",$G29="—"),"—",ROUND($G29/$E29,0))</f>
        <v/>
      </c>
      <c r="I29" s="8" t="n">
        <v>6915784</v>
      </c>
      <c r="J29" s="7" t="n">
        <v>211</v>
      </c>
      <c r="K29" s="5" t="inlineStr">
        <is>
          <t>Matcha</t>
        </is>
      </c>
      <c r="L29" s="5" t="inlineStr">
        <is>
          <t>Premium</t>
        </is>
      </c>
      <c r="M29" s="12" t="n">
        <v>2</v>
      </c>
    </row>
    <row r="30">
      <c r="A30" s="4" t="n">
        <v>26</v>
      </c>
      <c r="B30" s="5" t="inlineStr">
        <is>
          <t>Matchamu</t>
        </is>
      </c>
      <c r="C30" s="5" t="inlineStr">
        <is>
          <t>Matchamu Matcha Powder Kamui Champion Grade</t>
        </is>
      </c>
      <c r="D30" s="6" t="inlineStr">
        <is>
          <t>1730509984478955120</t>
        </is>
      </c>
      <c r="E30" s="4" t="inlineStr">
        <is>
          <t>—</t>
        </is>
      </c>
      <c r="F30" s="5" t="inlineStr">
        <is>
          <t>Tidak tertera</t>
        </is>
      </c>
      <c r="G30" s="7" t="n">
        <v>88569</v>
      </c>
      <c r="H30" s="7">
        <f>IF(OR($E30="—",$G30="—"),"—",ROUND($G30/$E30,0))</f>
        <v/>
      </c>
      <c r="I30" s="8" t="n">
        <v>4517032</v>
      </c>
      <c r="J30" s="7" t="n">
        <v>51</v>
      </c>
      <c r="K30" s="5" t="inlineStr">
        <is>
          <t>Matcha</t>
        </is>
      </c>
      <c r="L30" s="5" t="inlineStr">
        <is>
          <t>Champion Grade (premium+)</t>
        </is>
      </c>
      <c r="M30" s="12" t="n">
        <v>2</v>
      </c>
    </row>
    <row r="31">
      <c r="A31" s="4" t="n">
        <v>27</v>
      </c>
      <c r="B31" s="5" t="inlineStr">
        <is>
          <t>Homelab</t>
        </is>
      </c>
      <c r="C31" s="5" t="inlineStr">
        <is>
          <t>100% PURE UJI MATCHA Japan - Bubuk Matcha Premium Grade - 200g</t>
        </is>
      </c>
      <c r="D31" s="6" t="inlineStr">
        <is>
          <t>1731183894920136260</t>
        </is>
      </c>
      <c r="E31" s="4" t="n">
        <v>200</v>
      </c>
      <c r="F31" s="5" t="inlineStr">
        <is>
          <t>Tidak tertera</t>
        </is>
      </c>
      <c r="G31" s="7" t="n">
        <v>261914</v>
      </c>
      <c r="H31" s="7">
        <f>IF(OR($E31="—",$G31="—"),"—",ROUND($G31/$E31,0))</f>
        <v/>
      </c>
      <c r="I31" s="8" t="n">
        <v>785741</v>
      </c>
      <c r="J31" s="7" t="n">
        <v>3</v>
      </c>
      <c r="K31" s="5" t="inlineStr">
        <is>
          <t>Matcha</t>
        </is>
      </c>
      <c r="L31" s="5" t="inlineStr">
        <is>
          <t>Premium</t>
        </is>
      </c>
      <c r="M31" s="12" t="n">
        <v>2</v>
      </c>
    </row>
    <row r="32">
      <c r="A32" s="4" t="n">
        <v>28</v>
      </c>
      <c r="B32" s="5" t="inlineStr">
        <is>
          <t>Matchamu</t>
        </is>
      </c>
      <c r="C32" s="5" t="inlineStr">
        <is>
          <t>Matchamu 3 box/ 9 sachet Matcha Latte</t>
        </is>
      </c>
      <c r="D32" s="6" t="inlineStr">
        <is>
          <t>1729429992703494768</t>
        </is>
      </c>
      <c r="E32" s="4" t="inlineStr">
        <is>
          <t>—</t>
        </is>
      </c>
      <c r="F32" s="5" t="inlineStr">
        <is>
          <t>Sachet/Box</t>
        </is>
      </c>
      <c r="G32" s="7" t="n">
        <v>35727</v>
      </c>
      <c r="H32" s="7">
        <f>IF(OR($E32="—",$G32="—"),"—",ROUND($G32/$E32,0))</f>
        <v/>
      </c>
      <c r="I32" s="8" t="n">
        <v>8753121</v>
      </c>
      <c r="J32" s="7" t="n">
        <v>245</v>
      </c>
      <c r="K32" s="5" t="inlineStr">
        <is>
          <t>Matcha</t>
        </is>
      </c>
      <c r="L32" s="5" t="inlineStr">
        <is>
          <t>Culinary/Latte</t>
        </is>
      </c>
      <c r="M32" s="11" t="n">
        <v>3</v>
      </c>
    </row>
    <row r="33">
      <c r="A33" s="4" t="n">
        <v>29</v>
      </c>
      <c r="B33" s="5" t="inlineStr">
        <is>
          <t>Matchamu</t>
        </is>
      </c>
      <c r="C33" s="5" t="inlineStr">
        <is>
          <t>Matchamu Matcha Latte Powder 250gr</t>
        </is>
      </c>
      <c r="D33" s="6" t="inlineStr">
        <is>
          <t>1729420501594770032</t>
        </is>
      </c>
      <c r="E33" s="4" t="n">
        <v>250</v>
      </c>
      <c r="F33" s="5" t="inlineStr">
        <is>
          <t>Tidak tertera</t>
        </is>
      </c>
      <c r="G33" s="7" t="n">
        <v>66168</v>
      </c>
      <c r="H33" s="7">
        <f>IF(OR($E33="—",$G33="—"),"—",ROUND($G33/$E33,0))</f>
        <v/>
      </c>
      <c r="I33" s="8" t="n">
        <v>2845226</v>
      </c>
      <c r="J33" s="7" t="n">
        <v>43</v>
      </c>
      <c r="K33" s="5" t="inlineStr">
        <is>
          <t>Matcha</t>
        </is>
      </c>
      <c r="L33" s="5" t="inlineStr">
        <is>
          <t>Culinary/Latte</t>
        </is>
      </c>
      <c r="M33" s="11" t="n">
        <v>3</v>
      </c>
    </row>
    <row r="34">
      <c r="A34" s="4" t="n">
        <v>30</v>
      </c>
      <c r="B34" s="5" t="inlineStr">
        <is>
          <t>Matchamu</t>
        </is>
      </c>
      <c r="C34" s="5" t="inlineStr">
        <is>
          <t>Matchamu Matcha Latte Jar 250gr</t>
        </is>
      </c>
      <c r="D34" s="6" t="inlineStr">
        <is>
          <t>1729420498929355376</t>
        </is>
      </c>
      <c r="E34" s="4" t="n">
        <v>250</v>
      </c>
      <c r="F34" s="5" t="inlineStr">
        <is>
          <t>Jar</t>
        </is>
      </c>
      <c r="G34" s="7" t="n">
        <v>87798</v>
      </c>
      <c r="H34" s="7">
        <f>IF(OR($E34="—",$G34="—"),"—",ROUND($G34/$E34,0))</f>
        <v/>
      </c>
      <c r="I34" s="8" t="n">
        <v>2633942</v>
      </c>
      <c r="J34" s="7" t="n">
        <v>30</v>
      </c>
      <c r="K34" s="5" t="inlineStr">
        <is>
          <t>Matcha</t>
        </is>
      </c>
      <c r="L34" s="5" t="inlineStr">
        <is>
          <t>Culinary/Latte</t>
        </is>
      </c>
      <c r="M34" s="11" t="n">
        <v>3</v>
      </c>
    </row>
    <row r="35">
      <c r="A35" s="4" t="n">
        <v>31</v>
      </c>
      <c r="B35" s="5" t="inlineStr">
        <is>
          <t>Matchamu</t>
        </is>
      </c>
      <c r="C35" s="5" t="inlineStr">
        <is>
          <t>Matchamu Sweet Matcha 1kg</t>
        </is>
      </c>
      <c r="D35" s="6" t="inlineStr">
        <is>
          <t>1730348034762573424</t>
        </is>
      </c>
      <c r="E35" s="4" t="n">
        <v>1000</v>
      </c>
      <c r="F35" s="5" t="inlineStr">
        <is>
          <t>Tidak tertera</t>
        </is>
      </c>
      <c r="G35" s="7" t="n">
        <v>398372</v>
      </c>
      <c r="H35" s="7">
        <f>IF(OR($E35="—",$G35="—"),"—",ROUND($G35/$E35,0))</f>
        <v/>
      </c>
      <c r="I35" s="8" t="n">
        <v>1195116</v>
      </c>
      <c r="J35" s="7" t="n">
        <v>3</v>
      </c>
      <c r="K35" s="5" t="inlineStr">
        <is>
          <t>Matcha</t>
        </is>
      </c>
      <c r="L35" s="5" t="inlineStr">
        <is>
          <t>Culinary/Latte</t>
        </is>
      </c>
      <c r="M35" s="11" t="n">
        <v>3</v>
      </c>
    </row>
    <row r="36">
      <c r="A36" s="4" t="n">
        <v>32</v>
      </c>
      <c r="B36" s="5" t="inlineStr">
        <is>
          <t>Matchamu</t>
        </is>
      </c>
      <c r="C36" s="5" t="inlineStr">
        <is>
          <t>Matchamu Matcha Latte 250gr</t>
        </is>
      </c>
      <c r="D36" s="6" t="inlineStr">
        <is>
          <t>1730966729869854320</t>
        </is>
      </c>
      <c r="E36" s="4" t="n">
        <v>250</v>
      </c>
      <c r="F36" s="5" t="inlineStr">
        <is>
          <t>Tidak tertera</t>
        </is>
      </c>
      <c r="G36" s="7" t="n">
        <v>72106</v>
      </c>
      <c r="H36" s="7">
        <f>IF(OR($E36="—",$G36="—"),"—",ROUND($G36/$E36,0))</f>
        <v/>
      </c>
      <c r="I36" s="8" t="n">
        <v>721058</v>
      </c>
      <c r="J36" s="7" t="n">
        <v>10</v>
      </c>
      <c r="K36" s="5" t="inlineStr">
        <is>
          <t>Matcha</t>
        </is>
      </c>
      <c r="L36" s="5" t="inlineStr">
        <is>
          <t>Culinary/Latte</t>
        </is>
      </c>
      <c r="M36" s="11" t="n">
        <v>3</v>
      </c>
    </row>
    <row r="37">
      <c r="A37" s="4" t="n">
        <v>33</v>
      </c>
      <c r="B37" s="5" t="inlineStr">
        <is>
          <t>Matchamu</t>
        </is>
      </c>
      <c r="C37" s="5" t="inlineStr">
        <is>
          <t>Matchamu Matcha Latte  1Kg</t>
        </is>
      </c>
      <c r="D37" s="6" t="inlineStr">
        <is>
          <t>1730966729819588208</t>
        </is>
      </c>
      <c r="E37" s="4" t="n">
        <v>1000</v>
      </c>
      <c r="F37" s="5" t="inlineStr">
        <is>
          <t>Tidak tertera</t>
        </is>
      </c>
      <c r="G37" s="7" t="n">
        <v>336668</v>
      </c>
      <c r="H37" s="7">
        <f>IF(OR($E37="—",$G37="—"),"—",ROUND($G37/$E37,0))</f>
        <v/>
      </c>
      <c r="I37" s="8" t="n">
        <v>673336</v>
      </c>
      <c r="J37" s="7" t="n">
        <v>2</v>
      </c>
      <c r="K37" s="5" t="inlineStr">
        <is>
          <t>Matcha</t>
        </is>
      </c>
      <c r="L37" s="5" t="inlineStr">
        <is>
          <t>Culinary/Latte</t>
        </is>
      </c>
      <c r="M37" s="11" t="n">
        <v>3</v>
      </c>
    </row>
    <row r="38">
      <c r="A38" s="4" t="n">
        <v>34</v>
      </c>
      <c r="B38" s="5" t="inlineStr">
        <is>
          <t>Matchamu</t>
        </is>
      </c>
      <c r="C38" s="5" t="inlineStr">
        <is>
          <t>Matchamu Sweet Matcha 500gr</t>
        </is>
      </c>
      <c r="D38" s="6" t="inlineStr">
        <is>
          <t>1730348027600995952</t>
        </is>
      </c>
      <c r="E38" s="4" t="n">
        <v>500</v>
      </c>
      <c r="F38" s="5" t="inlineStr">
        <is>
          <t>Tidak tertera</t>
        </is>
      </c>
      <c r="G38" s="7" t="n">
        <v>158081</v>
      </c>
      <c r="H38" s="7">
        <f>IF(OR($E38="—",$G38="—"),"—",ROUND($G38/$E38,0))</f>
        <v/>
      </c>
      <c r="I38" s="8" t="n">
        <v>316162</v>
      </c>
      <c r="J38" s="7" t="n">
        <v>2</v>
      </c>
      <c r="K38" s="5" t="inlineStr">
        <is>
          <t>Matcha</t>
        </is>
      </c>
      <c r="L38" s="5" t="inlineStr">
        <is>
          <t>Culinary/Latte</t>
        </is>
      </c>
      <c r="M38" s="11" t="n">
        <v>3</v>
      </c>
    </row>
    <row r="39">
      <c r="A39" s="4" t="n">
        <v>35</v>
      </c>
      <c r="B39" s="5" t="inlineStr">
        <is>
          <t>Matchamu</t>
        </is>
      </c>
      <c r="C39" s="5" t="inlineStr">
        <is>
          <t>Matchamu Sweet Matcha 250gr</t>
        </is>
      </c>
      <c r="D39" s="6" t="inlineStr">
        <is>
          <t>1730348036247488112</t>
        </is>
      </c>
      <c r="E39" s="4" t="n">
        <v>250</v>
      </c>
      <c r="F39" s="5" t="inlineStr">
        <is>
          <t>Tidak tertera</t>
        </is>
      </c>
      <c r="G39" s="7" t="n">
        <v>97561</v>
      </c>
      <c r="H39" s="7">
        <f>IF(OR($E39="—",$G39="—"),"—",ROUND($G39/$E39,0))</f>
        <v/>
      </c>
      <c r="I39" s="8" t="n">
        <v>292683</v>
      </c>
      <c r="J39" s="7" t="n">
        <v>3</v>
      </c>
      <c r="K39" s="5" t="inlineStr">
        <is>
          <t>Matcha</t>
        </is>
      </c>
      <c r="L39" s="5" t="inlineStr">
        <is>
          <t>Culinary/Latte</t>
        </is>
      </c>
      <c r="M39" s="11" t="n">
        <v>3</v>
      </c>
    </row>
    <row r="40">
      <c r="A40" s="4" t="n">
        <v>36</v>
      </c>
      <c r="B40" s="5" t="inlineStr">
        <is>
          <t>PIKULABS</t>
        </is>
      </c>
      <c r="C40" s="5" t="inlineStr">
        <is>
          <t>[OFFICIAL STORE] PikuLabs Pure Matcha Powder 100gr \ | 100% Pure, No Additives</t>
        </is>
      </c>
      <c r="D40" s="6" t="inlineStr">
        <is>
          <t>1731289280380176268</t>
        </is>
      </c>
      <c r="E40" s="4" t="n">
        <v>100</v>
      </c>
      <c r="F40" s="5" t="inlineStr">
        <is>
          <t>Tidak tertera</t>
        </is>
      </c>
      <c r="G40" s="7" t="n">
        <v>98047</v>
      </c>
      <c r="H40" s="7">
        <f>IF(OR($E40="—",$G40="—"),"—",ROUND($G40/$E40,0))</f>
        <v/>
      </c>
      <c r="I40" s="8" t="n">
        <v>1404725633</v>
      </c>
      <c r="J40" s="7" t="n">
        <v>14327</v>
      </c>
      <c r="K40" s="5" t="inlineStr">
        <is>
          <t>Matcha</t>
        </is>
      </c>
      <c r="L40" s="5" t="inlineStr">
        <is>
          <t>Grade tidak disebut</t>
        </is>
      </c>
      <c r="M40" s="10" t="n">
        <v>4</v>
      </c>
    </row>
    <row r="41">
      <c r="A41" s="4" t="n">
        <v>37</v>
      </c>
      <c r="B41" s="5" t="inlineStr">
        <is>
          <t>Bitenza</t>
        </is>
      </c>
      <c r="C41" s="5" t="inlineStr">
        <is>
          <t>Bitenza - 100% Pure Matcha 50gr</t>
        </is>
      </c>
      <c r="D41" s="6" t="inlineStr">
        <is>
          <t>1731922730066740485</t>
        </is>
      </c>
      <c r="E41" s="4" t="n">
        <v>50</v>
      </c>
      <c r="F41" s="5" t="inlineStr">
        <is>
          <t>Tidak tertera</t>
        </is>
      </c>
      <c r="G41" s="7" t="n">
        <v>84063</v>
      </c>
      <c r="H41" s="7">
        <f>IF(OR($E41="—",$G41="—"),"—",ROUND($G41/$E41,0))</f>
        <v/>
      </c>
      <c r="I41" s="8" t="n">
        <v>1022645081</v>
      </c>
      <c r="J41" s="7" t="n">
        <v>12204</v>
      </c>
      <c r="K41" s="5" t="inlineStr">
        <is>
          <t>Matcha</t>
        </is>
      </c>
      <c r="L41" s="5" t="inlineStr">
        <is>
          <t>Grade tidak disebut</t>
        </is>
      </c>
      <c r="M41" s="10" t="n">
        <v>4</v>
      </c>
    </row>
    <row r="42">
      <c r="A42" s="4" t="n">
        <v>38</v>
      </c>
      <c r="B42" s="5" t="inlineStr">
        <is>
          <t>PIKULABS</t>
        </is>
      </c>
      <c r="C42" s="5" t="inlineStr">
        <is>
          <t>[OFFICIAL STORE] PIKULABS - Pure Matcha</t>
        </is>
      </c>
      <c r="D42" s="6" t="inlineStr">
        <is>
          <t>1735516783355725708</t>
        </is>
      </c>
      <c r="E42" s="4" t="inlineStr">
        <is>
          <t>—</t>
        </is>
      </c>
      <c r="F42" s="5" t="inlineStr">
        <is>
          <t>Tidak tertera</t>
        </is>
      </c>
      <c r="G42" s="7" t="n">
        <v>105184</v>
      </c>
      <c r="H42" s="7">
        <f>IF(OR($E42="—",$G42="—"),"—",ROUND($G42/$E42,0))</f>
        <v/>
      </c>
      <c r="I42" s="8" t="n">
        <v>202374140</v>
      </c>
      <c r="J42" s="7" t="n">
        <v>1924</v>
      </c>
      <c r="K42" s="5" t="inlineStr">
        <is>
          <t>Matcha</t>
        </is>
      </c>
      <c r="L42" s="5" t="inlineStr">
        <is>
          <t>Grade tidak disebut</t>
        </is>
      </c>
      <c r="M42" s="10" t="n">
        <v>4</v>
      </c>
    </row>
    <row r="43">
      <c r="A43" s="4" t="n">
        <v>39</v>
      </c>
      <c r="B43" s="5" t="inlineStr">
        <is>
          <t>PIKULABS</t>
        </is>
      </c>
      <c r="C43" s="5" t="inlineStr">
        <is>
          <t>[2pcs] PIKULABS - Pure Matcha [Official Store]</t>
        </is>
      </c>
      <c r="D43" s="6" t="inlineStr">
        <is>
          <t>1733483332828956556</t>
        </is>
      </c>
      <c r="E43" s="4" t="inlineStr">
        <is>
          <t>—</t>
        </is>
      </c>
      <c r="F43" s="5" t="inlineStr">
        <is>
          <t>Tidak tertera</t>
        </is>
      </c>
      <c r="G43" s="7" t="n">
        <v>223205</v>
      </c>
      <c r="H43" s="7">
        <f>IF(OR($E43="—",$G43="—"),"—",ROUND($G43/$E43,0))</f>
        <v/>
      </c>
      <c r="I43" s="8" t="n">
        <v>120084458</v>
      </c>
      <c r="J43" s="7" t="n">
        <v>538</v>
      </c>
      <c r="K43" s="5" t="inlineStr">
        <is>
          <t>Matcha</t>
        </is>
      </c>
      <c r="L43" s="5" t="inlineStr">
        <is>
          <t>Grade tidak disebut</t>
        </is>
      </c>
      <c r="M43" s="10" t="n">
        <v>4</v>
      </c>
    </row>
    <row r="44">
      <c r="A44" s="4" t="n">
        <v>40</v>
      </c>
      <c r="B44" s="5" t="inlineStr">
        <is>
          <t>Bitenza</t>
        </is>
      </c>
      <c r="C44" s="5" t="inlineStr">
        <is>
          <t>[2pcs - Pure Matcha Bitenza BUNDLING \[Official Store\]](https://www.kalodata.com/product/detail?id=1734061296383984901&amp;language=id-ID&amp;currency=IDR&amp;region=ID)</t>
        </is>
      </c>
      <c r="D44" s="6" t="inlineStr">
        <is>
          <t>1734061296383984901</t>
        </is>
      </c>
      <c r="E44" s="4" t="inlineStr">
        <is>
          <t>—</t>
        </is>
      </c>
      <c r="F44" s="5" t="inlineStr">
        <is>
          <t>Tidak tertera</t>
        </is>
      </c>
      <c r="G44" s="7" t="n">
        <v>178473</v>
      </c>
      <c r="H44" s="7">
        <f>IF(OR($E44="—",$G44="—"),"—",ROUND($G44/$E44,0))</f>
        <v/>
      </c>
      <c r="I44" s="8" t="n">
        <v>97087135</v>
      </c>
      <c r="J44" s="7" t="n">
        <v>476</v>
      </c>
      <c r="K44" s="5" t="inlineStr">
        <is>
          <t>Matcha</t>
        </is>
      </c>
      <c r="L44" s="5" t="inlineStr">
        <is>
          <t>Grade tidak disebut</t>
        </is>
      </c>
      <c r="M44" s="10" t="n">
        <v>4</v>
      </c>
    </row>
    <row r="45">
      <c r="A45" s="4" t="n">
        <v>41</v>
      </c>
      <c r="B45" s="5" t="inlineStr">
        <is>
          <t>Homelab</t>
        </is>
      </c>
      <c r="C45" s="5" t="inlineStr">
        <is>
          <t>Homelab Pure Uji Matcha Japan - Bubuk Pure Matcha 200 Gram</t>
        </is>
      </c>
      <c r="D45" s="6" t="inlineStr">
        <is>
          <t>1729667276441553476</t>
        </is>
      </c>
      <c r="E45" s="4" t="n">
        <v>200</v>
      </c>
      <c r="F45" s="5" t="inlineStr">
        <is>
          <t>Tidak tertera</t>
        </is>
      </c>
      <c r="G45" s="7" t="n">
        <v>269363</v>
      </c>
      <c r="H45" s="7">
        <f>IF(OR($E45="—",$G45="—"),"—",ROUND($G45/$E45,0))</f>
        <v/>
      </c>
      <c r="I45" s="8" t="n">
        <v>78654079</v>
      </c>
      <c r="J45" s="7" t="n">
        <v>292</v>
      </c>
      <c r="K45" s="5" t="inlineStr">
        <is>
          <t>Matcha</t>
        </is>
      </c>
      <c r="L45" s="5" t="inlineStr">
        <is>
          <t>Grade tidak disebut</t>
        </is>
      </c>
      <c r="M45" s="10" t="n">
        <v>4</v>
      </c>
    </row>
    <row r="46">
      <c r="A46" s="4" t="n">
        <v>42</v>
      </c>
      <c r="B46" s="5" t="inlineStr">
        <is>
          <t>Homelab</t>
        </is>
      </c>
      <c r="C46" s="5" t="inlineStr">
        <is>
          <t>Homelab Pure Uji Matcha Japan - Bubuk Pure Matcha</t>
        </is>
      </c>
      <c r="D46" s="6" t="inlineStr">
        <is>
          <t>1729615319056288324</t>
        </is>
      </c>
      <c r="E46" s="4" t="inlineStr">
        <is>
          <t>—</t>
        </is>
      </c>
      <c r="F46" s="5" t="inlineStr">
        <is>
          <t>Tidak tertera</t>
        </is>
      </c>
      <c r="G46" s="7" t="n">
        <v>128867</v>
      </c>
      <c r="H46" s="7">
        <f>IF(OR($E46="—",$G46="—"),"—",ROUND($G46/$E46,0))</f>
        <v/>
      </c>
      <c r="I46" s="8" t="n">
        <v>47680737</v>
      </c>
      <c r="J46" s="7" t="n">
        <v>370</v>
      </c>
      <c r="K46" s="5" t="inlineStr">
        <is>
          <t>Matcha</t>
        </is>
      </c>
      <c r="L46" s="5" t="inlineStr">
        <is>
          <t>Grade tidak disebut</t>
        </is>
      </c>
      <c r="M46" s="10" t="n">
        <v>4</v>
      </c>
    </row>
    <row r="47">
      <c r="A47" s="4" t="n">
        <v>43</v>
      </c>
      <c r="B47" s="5" t="inlineStr">
        <is>
          <t>Matchamu</t>
        </is>
      </c>
      <c r="C47" s="5" t="inlineStr">
        <is>
          <t>Matchamu Matcha Pure Powder 1kg</t>
        </is>
      </c>
      <c r="D47" s="6" t="inlineStr">
        <is>
          <t>1730966728292664944</t>
        </is>
      </c>
      <c r="E47" s="4" t="n">
        <v>1000</v>
      </c>
      <c r="F47" s="5" t="inlineStr">
        <is>
          <t>Tidak tertera</t>
        </is>
      </c>
      <c r="G47" s="7" t="n">
        <v>885450</v>
      </c>
      <c r="H47" s="7">
        <f>IF(OR($E47="—",$G47="—"),"—",ROUND($G47/$E47,0))</f>
        <v/>
      </c>
      <c r="I47" s="8" t="n">
        <v>46043403</v>
      </c>
      <c r="J47" s="7" t="n">
        <v>52</v>
      </c>
      <c r="K47" s="5" t="inlineStr">
        <is>
          <t>Matcha</t>
        </is>
      </c>
      <c r="L47" s="5" t="inlineStr">
        <is>
          <t>Grade tidak disebut</t>
        </is>
      </c>
      <c r="M47" s="10" t="n">
        <v>4</v>
      </c>
    </row>
    <row r="48">
      <c r="A48" s="4" t="n">
        <v>44</v>
      </c>
      <c r="B48" s="5" t="inlineStr">
        <is>
          <t>Matchamu</t>
        </is>
      </c>
      <c r="C48" s="5" t="inlineStr">
        <is>
          <t>Matchamu Matcha Powder 100gr</t>
        </is>
      </c>
      <c r="D48" s="6" t="inlineStr">
        <is>
          <t>1729615209575975536</t>
        </is>
      </c>
      <c r="E48" s="4" t="n">
        <v>100</v>
      </c>
      <c r="F48" s="5" t="inlineStr">
        <is>
          <t>Tidak tertera</t>
        </is>
      </c>
      <c r="G48" s="7" t="n">
        <v>85257</v>
      </c>
      <c r="H48" s="7">
        <f>IF(OR($E48="—",$G48="—"),"—",ROUND($G48/$E48,0))</f>
        <v/>
      </c>
      <c r="I48" s="8" t="n">
        <v>44077877</v>
      </c>
      <c r="J48" s="7" t="n">
        <v>517</v>
      </c>
      <c r="K48" s="5" t="inlineStr">
        <is>
          <t>Matcha</t>
        </is>
      </c>
      <c r="L48" s="5" t="inlineStr">
        <is>
          <t>Grade tidak disebut</t>
        </is>
      </c>
      <c r="M48" s="10" t="n">
        <v>4</v>
      </c>
    </row>
    <row r="49">
      <c r="A49" s="4" t="n">
        <v>45</v>
      </c>
      <c r="B49" s="5" t="inlineStr">
        <is>
          <t>PIKULABS</t>
        </is>
      </c>
      <c r="C49" s="5" t="inlineStr">
        <is>
          <t>[3pcs] PIKULABS - Pure Matcha [Official Store]</t>
        </is>
      </c>
      <c r="D49" s="6" t="inlineStr">
        <is>
          <t>1733483291378747276</t>
        </is>
      </c>
      <c r="E49" s="4" t="inlineStr">
        <is>
          <t>—</t>
        </is>
      </c>
      <c r="F49" s="5" t="inlineStr">
        <is>
          <t>Tidak tertera</t>
        </is>
      </c>
      <c r="G49" s="7" t="n">
        <v>345602</v>
      </c>
      <c r="H49" s="7">
        <f>IF(OR($E49="—",$G49="—"),"—",ROUND($G49/$E49,0))</f>
        <v/>
      </c>
      <c r="I49" s="8" t="n">
        <v>43891464</v>
      </c>
      <c r="J49" s="7" t="n">
        <v>127</v>
      </c>
      <c r="K49" s="5" t="inlineStr">
        <is>
          <t>Matcha</t>
        </is>
      </c>
      <c r="L49" s="5" t="inlineStr">
        <is>
          <t>Grade tidak disebut</t>
        </is>
      </c>
      <c r="M49" s="10" t="n">
        <v>4</v>
      </c>
    </row>
    <row r="50">
      <c r="A50" s="4" t="n">
        <v>46</v>
      </c>
      <c r="B50" s="5" t="inlineStr">
        <is>
          <t>Bitenza</t>
        </is>
      </c>
      <c r="C50" s="5" t="inlineStr">
        <is>
          <t>[3pcs - Pure Matcha Bitenza BUNDLING \[Official Store\]](https://www.kalodata.com/product/detail?id=1734061301418591493&amp;language=id-ID&amp;currency=IDR&amp;region=ID)</t>
        </is>
      </c>
      <c r="D50" s="6" t="inlineStr">
        <is>
          <t>1734061301418591493</t>
        </is>
      </c>
      <c r="E50" s="4" t="inlineStr">
        <is>
          <t>—</t>
        </is>
      </c>
      <c r="F50" s="5" t="inlineStr">
        <is>
          <t>Tidak tertera</t>
        </is>
      </c>
      <c r="G50" s="7" t="n">
        <v>314958</v>
      </c>
      <c r="H50" s="7">
        <f>IF(OR($E50="—",$G50="—"),"—",ROUND($G50/$E50,0))</f>
        <v/>
      </c>
      <c r="I50" s="8" t="n">
        <v>27234585</v>
      </c>
      <c r="J50" s="7" t="n">
        <v>87</v>
      </c>
      <c r="K50" s="5" t="inlineStr">
        <is>
          <t>Matcha</t>
        </is>
      </c>
      <c r="L50" s="5" t="inlineStr">
        <is>
          <t>Grade tidak disebut</t>
        </is>
      </c>
      <c r="M50" s="10" t="n">
        <v>4</v>
      </c>
    </row>
    <row r="51">
      <c r="A51" s="4" t="n">
        <v>47</v>
      </c>
      <c r="B51" s="5" t="inlineStr">
        <is>
          <t>Matchamu</t>
        </is>
      </c>
      <c r="C51" s="5" t="inlineStr">
        <is>
          <t>Matchamu Matcha Pure Powder 50gr</t>
        </is>
      </c>
      <c r="D51" s="6" t="inlineStr">
        <is>
          <t>1730348034724759152</t>
        </is>
      </c>
      <c r="E51" s="4" t="n">
        <v>50</v>
      </c>
      <c r="F51" s="5" t="inlineStr">
        <is>
          <t>Tidak tertera</t>
        </is>
      </c>
      <c r="G51" s="7" t="n">
        <v>19181</v>
      </c>
      <c r="H51" s="7">
        <f>IF(OR($E51="—",$G51="—"),"—",ROUND($G51/$E51,0))</f>
        <v/>
      </c>
      <c r="I51" s="8" t="n">
        <v>13445844</v>
      </c>
      <c r="J51" s="7" t="n">
        <v>701</v>
      </c>
      <c r="K51" s="5" t="inlineStr">
        <is>
          <t>Matcha</t>
        </is>
      </c>
      <c r="L51" s="5" t="inlineStr">
        <is>
          <t>Grade tidak disebut</t>
        </is>
      </c>
      <c r="M51" s="10" t="n">
        <v>4</v>
      </c>
    </row>
    <row r="52">
      <c r="A52" s="4" t="n">
        <v>48</v>
      </c>
      <c r="B52" s="5" t="inlineStr">
        <is>
          <t>Matchamu</t>
        </is>
      </c>
      <c r="C52" s="5" t="inlineStr">
        <is>
          <t>Matchamu Matcha Powder Komorebi</t>
        </is>
      </c>
      <c r="D52" s="6" t="inlineStr">
        <is>
          <t>1729782239773623920</t>
        </is>
      </c>
      <c r="E52" s="4" t="inlineStr">
        <is>
          <t>—</t>
        </is>
      </c>
      <c r="F52" s="5" t="inlineStr">
        <is>
          <t>Tidak tertera</t>
        </is>
      </c>
      <c r="G52" s="7" t="n">
        <v>29055</v>
      </c>
      <c r="H52" s="7">
        <f>IF(OR($E52="—",$G52="—"),"—",ROUND($G52/$E52,0))</f>
        <v/>
      </c>
      <c r="I52" s="8" t="n">
        <v>12551606</v>
      </c>
      <c r="J52" s="7" t="n">
        <v>432</v>
      </c>
      <c r="K52" s="5" t="inlineStr">
        <is>
          <t>Matcha</t>
        </is>
      </c>
      <c r="L52" s="5" t="inlineStr">
        <is>
          <t>Grade tidak disebut</t>
        </is>
      </c>
      <c r="M52" s="10" t="n">
        <v>4</v>
      </c>
    </row>
    <row r="53">
      <c r="A53" s="4" t="n">
        <v>49</v>
      </c>
      <c r="B53" s="5" t="inlineStr">
        <is>
          <t>Matchamu</t>
        </is>
      </c>
      <c r="C53" s="5" t="inlineStr">
        <is>
          <t>Matchamu Matcha Pure Powder 500gr</t>
        </is>
      </c>
      <c r="D53" s="6" t="inlineStr">
        <is>
          <t>1730966734920648304</t>
        </is>
      </c>
      <c r="E53" s="4" t="n">
        <v>500</v>
      </c>
      <c r="F53" s="5" t="inlineStr">
        <is>
          <t>Tidak tertera</t>
        </is>
      </c>
      <c r="G53" s="7" t="n">
        <v>437493</v>
      </c>
      <c r="H53" s="7">
        <f>IF(OR($E53="—",$G53="—"),"—",ROUND($G53/$E53,0))</f>
        <v/>
      </c>
      <c r="I53" s="8" t="n">
        <v>11374810</v>
      </c>
      <c r="J53" s="7" t="n">
        <v>26</v>
      </c>
      <c r="K53" s="5" t="inlineStr">
        <is>
          <t>Matcha</t>
        </is>
      </c>
      <c r="L53" s="5" t="inlineStr">
        <is>
          <t>Grade tidak disebut</t>
        </is>
      </c>
      <c r="M53" s="10" t="n">
        <v>4</v>
      </c>
    </row>
    <row r="54">
      <c r="A54" s="4" t="n">
        <v>50</v>
      </c>
      <c r="B54" s="5" t="inlineStr">
        <is>
          <t>Matchamu</t>
        </is>
      </c>
      <c r="C54" s="5" t="inlineStr">
        <is>
          <t>Matchamu Matcha Powder 250gr</t>
        </is>
      </c>
      <c r="D54" s="6" t="inlineStr">
        <is>
          <t>1730966727332365936</t>
        </is>
      </c>
      <c r="E54" s="4" t="n">
        <v>250</v>
      </c>
      <c r="F54" s="5" t="inlineStr">
        <is>
          <t>Tidak tertera</t>
        </is>
      </c>
      <c r="G54" s="7" t="n">
        <v>218272</v>
      </c>
      <c r="H54" s="7">
        <f>IF(OR($E54="—",$G54="—"),"—",ROUND($G54/$E54,0))</f>
        <v/>
      </c>
      <c r="I54" s="8" t="n">
        <v>11350164</v>
      </c>
      <c r="J54" s="7" t="n">
        <v>52</v>
      </c>
      <c r="K54" s="5" t="inlineStr">
        <is>
          <t>Matcha</t>
        </is>
      </c>
      <c r="L54" s="5" t="inlineStr">
        <is>
          <t>Grade tidak disebut</t>
        </is>
      </c>
      <c r="M54" s="10" t="n">
        <v>4</v>
      </c>
    </row>
    <row r="55">
      <c r="A55" s="4" t="n">
        <v>51</v>
      </c>
      <c r="B55" s="5" t="inlineStr">
        <is>
          <t>Matchamu</t>
        </is>
      </c>
      <c r="C55" s="5" t="inlineStr">
        <is>
          <t>Matchamu Komorebi Matcha Powder 500gr</t>
        </is>
      </c>
      <c r="D55" s="6" t="inlineStr">
        <is>
          <t>1735899608324408944</t>
        </is>
      </c>
      <c r="E55" s="4" t="n">
        <v>500</v>
      </c>
      <c r="F55" s="5" t="inlineStr">
        <is>
          <t>Tidak tertera</t>
        </is>
      </c>
      <c r="G55" s="7" t="n">
        <v>690604</v>
      </c>
      <c r="H55" s="7">
        <f>IF(OR($E55="—",$G55="—"),"—",ROUND($G55/$E55,0))</f>
        <v/>
      </c>
      <c r="I55" s="8" t="n">
        <v>11049666</v>
      </c>
      <c r="J55" s="7" t="n">
        <v>16</v>
      </c>
      <c r="K55" s="5" t="inlineStr">
        <is>
          <t>Matcha</t>
        </is>
      </c>
      <c r="L55" s="5" t="inlineStr">
        <is>
          <t>Grade tidak disebut</t>
        </is>
      </c>
      <c r="M55" s="10" t="n">
        <v>4</v>
      </c>
    </row>
    <row r="56">
      <c r="A56" s="4" t="n">
        <v>52</v>
      </c>
      <c r="B56" s="5" t="inlineStr">
        <is>
          <t>Matchamu</t>
        </is>
      </c>
      <c r="C56" s="5" t="inlineStr">
        <is>
          <t>Matchamu Matcha Kana Ceremonia Powder</t>
        </is>
      </c>
      <c r="D56" s="6" t="inlineStr">
        <is>
          <t>1729782262463891056</t>
        </is>
      </c>
      <c r="E56" s="4" t="inlineStr">
        <is>
          <t>—</t>
        </is>
      </c>
      <c r="F56" s="5" t="inlineStr">
        <is>
          <t>Tidak tertera</t>
        </is>
      </c>
      <c r="G56" s="7" t="n">
        <v>75408</v>
      </c>
      <c r="H56" s="7">
        <f>IF(OR($E56="—",$G56="—"),"—",ROUND($G56/$E56,0))</f>
        <v/>
      </c>
      <c r="I56" s="8" t="n">
        <v>8973541</v>
      </c>
      <c r="J56" s="7" t="n">
        <v>119</v>
      </c>
      <c r="K56" s="5" t="inlineStr">
        <is>
          <t>Matcha</t>
        </is>
      </c>
      <c r="L56" s="5" t="inlineStr">
        <is>
          <t>Grade tidak disebut</t>
        </is>
      </c>
      <c r="M56" s="10" t="n">
        <v>4</v>
      </c>
    </row>
    <row r="57">
      <c r="A57" s="4" t="n">
        <v>53</v>
      </c>
      <c r="B57" s="5" t="inlineStr">
        <is>
          <t>Matchamu</t>
        </is>
      </c>
      <c r="C57" s="5" t="inlineStr">
        <is>
          <t>Matchamu Matcha Powder Pouch 50gr</t>
        </is>
      </c>
      <c r="D57" s="6" t="inlineStr">
        <is>
          <t>1729637539237956208</t>
        </is>
      </c>
      <c r="E57" s="4" t="n">
        <v>50</v>
      </c>
      <c r="F57" s="5" t="inlineStr">
        <is>
          <t>Pouch</t>
        </is>
      </c>
      <c r="G57" s="7" t="n">
        <v>38030</v>
      </c>
      <c r="H57" s="7">
        <f>IF(OR($E57="—",$G57="—"),"—",ROUND($G57/$E57,0))</f>
        <v/>
      </c>
      <c r="I57" s="8" t="n">
        <v>8062448</v>
      </c>
      <c r="J57" s="7" t="n">
        <v>212</v>
      </c>
      <c r="K57" s="5" t="inlineStr">
        <is>
          <t>Matcha</t>
        </is>
      </c>
      <c r="L57" s="5" t="inlineStr">
        <is>
          <t>Grade tidak disebut</t>
        </is>
      </c>
      <c r="M57" s="10" t="n">
        <v>4</v>
      </c>
    </row>
    <row r="58">
      <c r="A58" s="4" t="n">
        <v>54</v>
      </c>
      <c r="B58" s="5" t="inlineStr">
        <is>
          <t>Matchamu</t>
        </is>
      </c>
      <c r="C58" s="5" t="inlineStr">
        <is>
          <t>Matchamu Matcha Powder Jar 100gram</t>
        </is>
      </c>
      <c r="D58" s="6" t="inlineStr">
        <is>
          <t>1729420495198325360</t>
        </is>
      </c>
      <c r="E58" s="4" t="n">
        <v>100</v>
      </c>
      <c r="F58" s="5" t="inlineStr">
        <is>
          <t>Jar</t>
        </is>
      </c>
      <c r="G58" s="7" t="n">
        <v>106780</v>
      </c>
      <c r="H58" s="7">
        <f>IF(OR($E58="—",$G58="—"),"—",ROUND($G58/$E58,0))</f>
        <v/>
      </c>
      <c r="I58" s="8" t="n">
        <v>6940698</v>
      </c>
      <c r="J58" s="7" t="n">
        <v>65</v>
      </c>
      <c r="K58" s="5" t="inlineStr">
        <is>
          <t>Matcha</t>
        </is>
      </c>
      <c r="L58" s="5" t="inlineStr">
        <is>
          <t>Grade tidak disebut</t>
        </is>
      </c>
      <c r="M58" s="10" t="n">
        <v>4</v>
      </c>
    </row>
    <row r="59">
      <c r="A59" s="4" t="n">
        <v>55</v>
      </c>
      <c r="B59" s="5" t="inlineStr">
        <is>
          <t>Matchamu</t>
        </is>
      </c>
      <c r="C59" s="5" t="inlineStr">
        <is>
          <t>Matchamu Bundle Matcha Powder 50gr 4pcs</t>
        </is>
      </c>
      <c r="D59" s="6" t="inlineStr">
        <is>
          <t>1734979455475615344</t>
        </is>
      </c>
      <c r="E59" s="4" t="n">
        <v>50</v>
      </c>
      <c r="F59" s="5" t="inlineStr">
        <is>
          <t>Tidak tertera</t>
        </is>
      </c>
      <c r="G59" s="7" t="n">
        <v>176142</v>
      </c>
      <c r="H59" s="7">
        <f>IF(OR($E59="—",$G59="—"),"—",ROUND($G59/$E59,0))</f>
        <v/>
      </c>
      <c r="I59" s="8" t="n">
        <v>6164964</v>
      </c>
      <c r="J59" s="7" t="n">
        <v>35</v>
      </c>
      <c r="K59" s="5" t="inlineStr">
        <is>
          <t>Matcha</t>
        </is>
      </c>
      <c r="L59" s="5" t="inlineStr">
        <is>
          <t>Grade tidak disebut</t>
        </is>
      </c>
      <c r="M59" s="10" t="n">
        <v>4</v>
      </c>
    </row>
    <row r="60">
      <c r="A60" s="4" t="n">
        <v>56</v>
      </c>
      <c r="B60" s="5" t="inlineStr">
        <is>
          <t>Matchamu</t>
        </is>
      </c>
      <c r="C60" s="5" t="inlineStr">
        <is>
          <t>Matchamu Matcha Kana Powder 15gr</t>
        </is>
      </c>
      <c r="D60" s="6" t="inlineStr">
        <is>
          <t>1729988591387904624</t>
        </is>
      </c>
      <c r="E60" s="4" t="n">
        <v>15</v>
      </c>
      <c r="F60" s="5" t="inlineStr">
        <is>
          <t>Tidak tertera</t>
        </is>
      </c>
      <c r="G60" s="7" t="n">
        <v>61225</v>
      </c>
      <c r="H60" s="7">
        <f>IF(OR($E60="—",$G60="—"),"—",ROUND($G60/$E60,0))</f>
        <v/>
      </c>
      <c r="I60" s="8" t="n">
        <v>5571488</v>
      </c>
      <c r="J60" s="7" t="n">
        <v>91</v>
      </c>
      <c r="K60" s="5" t="inlineStr">
        <is>
          <t>Matcha</t>
        </is>
      </c>
      <c r="L60" s="5" t="inlineStr">
        <is>
          <t>Grade tidak disebut</t>
        </is>
      </c>
      <c r="M60" s="10" t="n">
        <v>4</v>
      </c>
    </row>
    <row r="61">
      <c r="A61" s="4" t="n">
        <v>57</v>
      </c>
      <c r="B61" s="5" t="inlineStr">
        <is>
          <t>Matchamu</t>
        </is>
      </c>
      <c r="C61" s="5" t="inlineStr">
        <is>
          <t>Matchamu Matcha Komorebi Powder 100g</t>
        </is>
      </c>
      <c r="D61" s="6" t="inlineStr">
        <is>
          <t>1730348035517548144</t>
        </is>
      </c>
      <c r="E61" s="4" t="n">
        <v>100</v>
      </c>
      <c r="F61" s="5" t="inlineStr">
        <is>
          <t>Tidak tertera</t>
        </is>
      </c>
      <c r="G61" s="7" t="n">
        <v>141765</v>
      </c>
      <c r="H61" s="7">
        <f>IF(OR($E61="—",$G61="—"),"—",ROUND($G61/$E61,0))</f>
        <v/>
      </c>
      <c r="I61" s="8" t="n">
        <v>3260595</v>
      </c>
      <c r="J61" s="7" t="n">
        <v>23</v>
      </c>
      <c r="K61" s="5" t="inlineStr">
        <is>
          <t>Matcha</t>
        </is>
      </c>
      <c r="L61" s="5" t="inlineStr">
        <is>
          <t>Grade tidak disebut</t>
        </is>
      </c>
      <c r="M61" s="10" t="n">
        <v>4</v>
      </c>
    </row>
    <row r="62">
      <c r="A62" s="4" t="n">
        <v>58</v>
      </c>
      <c r="B62" s="5" t="inlineStr">
        <is>
          <t>Matchamu</t>
        </is>
      </c>
      <c r="C62" s="5" t="inlineStr">
        <is>
          <t>Matchamu Bundle 3pcs Matcha Powder 100gr</t>
        </is>
      </c>
      <c r="D62" s="6" t="inlineStr">
        <is>
          <t>1734979369174337136</t>
        </is>
      </c>
      <c r="E62" s="4" t="n">
        <v>100</v>
      </c>
      <c r="F62" s="5" t="inlineStr">
        <is>
          <t>Tidak tertera</t>
        </is>
      </c>
      <c r="G62" s="7" t="n">
        <v>281037</v>
      </c>
      <c r="H62" s="7">
        <f>IF(OR($E62="—",$G62="—"),"—",ROUND($G62/$E62,0))</f>
        <v/>
      </c>
      <c r="I62" s="8" t="n">
        <v>2248299</v>
      </c>
      <c r="J62" s="7" t="n">
        <v>8</v>
      </c>
      <c r="K62" s="5" t="inlineStr">
        <is>
          <t>Matcha</t>
        </is>
      </c>
      <c r="L62" s="5" t="inlineStr">
        <is>
          <t>Grade tidak disebut</t>
        </is>
      </c>
      <c r="M62" s="10" t="n">
        <v>4</v>
      </c>
    </row>
    <row r="63">
      <c r="A63" s="4" t="n">
        <v>59</v>
      </c>
      <c r="B63" s="5" t="inlineStr">
        <is>
          <t>Matchamu</t>
        </is>
      </c>
      <c r="C63" s="5" t="inlineStr">
        <is>
          <t>Matchamu Matcha Series 15gr</t>
        </is>
      </c>
      <c r="D63" s="6" t="inlineStr">
        <is>
          <t>1730348027605059184</t>
        </is>
      </c>
      <c r="E63" s="4" t="n">
        <v>15</v>
      </c>
      <c r="F63" s="5" t="inlineStr">
        <is>
          <t>Tidak tertera</t>
        </is>
      </c>
      <c r="G63" s="7" t="n">
        <v>15960</v>
      </c>
      <c r="H63" s="7">
        <f>IF(OR($E63="—",$G63="—"),"—",ROUND($G63/$E63,0))</f>
        <v/>
      </c>
      <c r="I63" s="8" t="n">
        <v>2058861</v>
      </c>
      <c r="J63" s="7" t="n">
        <v>129</v>
      </c>
      <c r="K63" s="5" t="inlineStr">
        <is>
          <t>Matcha</t>
        </is>
      </c>
      <c r="L63" s="5" t="inlineStr">
        <is>
          <t>Grade tidak disebut</t>
        </is>
      </c>
      <c r="M63" s="10" t="n">
        <v>4</v>
      </c>
    </row>
    <row r="64">
      <c r="A64" s="4" t="n">
        <v>60</v>
      </c>
      <c r="B64" s="5" t="inlineStr">
        <is>
          <t>Matchamu</t>
        </is>
      </c>
      <c r="C64" s="5" t="inlineStr">
        <is>
          <t>Matchamu Bundle Matcha 5 varian (Kana, Komorebi, Minori, Midori, Maneki)</t>
        </is>
      </c>
      <c r="D64" s="6" t="inlineStr">
        <is>
          <t>1729580299040753264</t>
        </is>
      </c>
      <c r="E64" s="4" t="inlineStr">
        <is>
          <t>—</t>
        </is>
      </c>
      <c r="F64" s="5" t="inlineStr">
        <is>
          <t>Tidak tertera</t>
        </is>
      </c>
      <c r="G64" s="7" t="n">
        <v>136048</v>
      </c>
      <c r="H64" s="7">
        <f>IF(OR($E64="—",$G64="—"),"—",ROUND($G64/$E64,0))</f>
        <v/>
      </c>
      <c r="I64" s="8" t="n">
        <v>1768623</v>
      </c>
      <c r="J64" s="7" t="n">
        <v>13</v>
      </c>
      <c r="K64" s="5" t="inlineStr">
        <is>
          <t>Matcha</t>
        </is>
      </c>
      <c r="L64" s="5" t="inlineStr">
        <is>
          <t>Grade tidak disebut</t>
        </is>
      </c>
      <c r="M64" s="10" t="n">
        <v>4</v>
      </c>
    </row>
    <row r="65">
      <c r="A65" s="4" t="n">
        <v>61</v>
      </c>
      <c r="B65" s="5" t="inlineStr">
        <is>
          <t>Matchamu</t>
        </is>
      </c>
      <c r="C65" s="5" t="inlineStr">
        <is>
          <t>Matchamu Matcha Koga Tincan 40gr</t>
        </is>
      </c>
      <c r="D65" s="6" t="inlineStr">
        <is>
          <t>1730522506774873712</t>
        </is>
      </c>
      <c r="E65" s="4" t="n">
        <v>40</v>
      </c>
      <c r="F65" s="5" t="inlineStr">
        <is>
          <t>Tin Can</t>
        </is>
      </c>
      <c r="G65" s="7" t="n">
        <v>390878</v>
      </c>
      <c r="H65" s="7">
        <f>IF(OR($E65="—",$G65="—"),"—",ROUND($G65/$E65,0))</f>
        <v/>
      </c>
      <c r="I65" s="8" t="n">
        <v>1563513</v>
      </c>
      <c r="J65" s="7" t="n">
        <v>4</v>
      </c>
      <c r="K65" s="5" t="inlineStr">
        <is>
          <t>Matcha</t>
        </is>
      </c>
      <c r="L65" s="5" t="inlineStr">
        <is>
          <t>Grade tidak disebut</t>
        </is>
      </c>
      <c r="M65" s="10" t="n">
        <v>4</v>
      </c>
    </row>
    <row r="66">
      <c r="A66" s="4" t="n">
        <v>62</v>
      </c>
      <c r="B66" s="5" t="inlineStr">
        <is>
          <t>Bitenza</t>
        </is>
      </c>
      <c r="C66" s="5" t="inlineStr">
        <is>
          <t>[\[Official Store\] Bitenza - 100% Pure Matcha 50gr](https://www.kalodata.com/product/detail?id=1736426647049700613&amp;language=id-ID&amp;currency=IDR&amp;region=ID)</t>
        </is>
      </c>
      <c r="D66" s="6" t="inlineStr">
        <is>
          <t>1736426647049700613</t>
        </is>
      </c>
      <c r="E66" s="4" t="n">
        <v>50</v>
      </c>
      <c r="F66" s="5" t="inlineStr">
        <is>
          <t>Tidak tertera</t>
        </is>
      </c>
      <c r="G66" s="7" t="n">
        <v>89662</v>
      </c>
      <c r="H66" s="7">
        <f>IF(OR($E66="—",$G66="—"),"—",ROUND($G66/$E66,0))</f>
        <v/>
      </c>
      <c r="I66" s="8" t="n">
        <v>1498728</v>
      </c>
      <c r="J66" s="7" t="n">
        <v>17</v>
      </c>
      <c r="K66" s="5" t="inlineStr">
        <is>
          <t>Matcha</t>
        </is>
      </c>
      <c r="L66" s="5" t="inlineStr">
        <is>
          <t>Grade tidak disebut</t>
        </is>
      </c>
      <c r="M66" s="10" t="n">
        <v>4</v>
      </c>
    </row>
    <row r="67">
      <c r="A67" s="4" t="n">
        <v>63</v>
      </c>
      <c r="B67" s="5" t="inlineStr">
        <is>
          <t>Matchamu</t>
        </is>
      </c>
      <c r="C67" s="5" t="inlineStr">
        <is>
          <t>Matchamu Matcha Jingshan China Origin</t>
        </is>
      </c>
      <c r="D67" s="6" t="inlineStr">
        <is>
          <t>1731849221255497328</t>
        </is>
      </c>
      <c r="E67" s="4" t="inlineStr">
        <is>
          <t>—</t>
        </is>
      </c>
      <c r="F67" s="5" t="inlineStr">
        <is>
          <t>Tidak tertera</t>
        </is>
      </c>
      <c r="G67" s="7" t="n">
        <v>174696</v>
      </c>
      <c r="H67" s="7">
        <f>IF(OR($E67="—",$G67="—"),"—",ROUND($G67/$E67,0))</f>
        <v/>
      </c>
      <c r="I67" s="8" t="n">
        <v>1397567</v>
      </c>
      <c r="J67" s="7" t="n">
        <v>8</v>
      </c>
      <c r="K67" s="5" t="inlineStr">
        <is>
          <t>Matcha</t>
        </is>
      </c>
      <c r="L67" s="5" t="inlineStr">
        <is>
          <t>Grade tidak disebut</t>
        </is>
      </c>
      <c r="M67" s="10" t="n">
        <v>4</v>
      </c>
    </row>
    <row r="68">
      <c r="A68" s="4" t="n">
        <v>64</v>
      </c>
      <c r="B68" s="5" t="inlineStr">
        <is>
          <t>Matchamu</t>
        </is>
      </c>
      <c r="C68" s="5" t="inlineStr">
        <is>
          <t>Matchamu Matcha Komorebi Powder 15gr</t>
        </is>
      </c>
      <c r="D68" s="6" t="inlineStr">
        <is>
          <t>1729988594685348464</t>
        </is>
      </c>
      <c r="E68" s="4" t="n">
        <v>15</v>
      </c>
      <c r="F68" s="5" t="inlineStr">
        <is>
          <t>Tidak tertera</t>
        </is>
      </c>
      <c r="G68" s="7" t="n">
        <v>15489</v>
      </c>
      <c r="H68" s="7">
        <f>IF(OR($E68="—",$G68="—"),"—",ROUND($G68/$E68,0))</f>
        <v/>
      </c>
      <c r="I68" s="8" t="n">
        <v>944801</v>
      </c>
      <c r="J68" s="7" t="n">
        <v>61</v>
      </c>
      <c r="K68" s="5" t="inlineStr">
        <is>
          <t>Matcha</t>
        </is>
      </c>
      <c r="L68" s="5" t="inlineStr">
        <is>
          <t>Grade tidak disebut</t>
        </is>
      </c>
      <c r="M68" s="10" t="n">
        <v>4</v>
      </c>
    </row>
    <row r="69">
      <c r="A69" s="4" t="n">
        <v>65</v>
      </c>
      <c r="B69" s="5" t="inlineStr">
        <is>
          <t>Matchamu</t>
        </is>
      </c>
      <c r="C69" s="5" t="inlineStr">
        <is>
          <t>Matchamu 2 pcs Matcha Minori Powder 15gr</t>
        </is>
      </c>
      <c r="D69" s="6" t="inlineStr">
        <is>
          <t>1729729489676372592</t>
        </is>
      </c>
      <c r="E69" s="4" t="n">
        <v>15</v>
      </c>
      <c r="F69" s="5" t="inlineStr">
        <is>
          <t>Tidak tertera</t>
        </is>
      </c>
      <c r="G69" s="7" t="n">
        <v>29220</v>
      </c>
      <c r="H69" s="7">
        <f>IF(OR($E69="—",$G69="—"),"—",ROUND($G69/$E69,0))</f>
        <v/>
      </c>
      <c r="I69" s="8" t="n">
        <v>321421</v>
      </c>
      <c r="J69" s="7" t="n">
        <v>11</v>
      </c>
      <c r="K69" s="5" t="inlineStr">
        <is>
          <t>Matcha</t>
        </is>
      </c>
      <c r="L69" s="5" t="inlineStr">
        <is>
          <t>Grade tidak disebut</t>
        </is>
      </c>
      <c r="M69" s="10" t="n">
        <v>4</v>
      </c>
    </row>
    <row r="70">
      <c r="A70" s="4" t="n">
        <v>66</v>
      </c>
      <c r="B70" s="5" t="inlineStr">
        <is>
          <t>Matchamu</t>
        </is>
      </c>
      <c r="C70" s="5" t="inlineStr">
        <is>
          <t>Matchamu 3 pcs Matcha Maneki Powder 15gr</t>
        </is>
      </c>
      <c r="D70" s="6" t="inlineStr">
        <is>
          <t>1729980331895065200</t>
        </is>
      </c>
      <c r="E70" s="4" t="n">
        <v>15</v>
      </c>
      <c r="F70" s="5" t="inlineStr">
        <is>
          <t>Tidak tertera</t>
        </is>
      </c>
      <c r="G70" s="7" t="n">
        <v>16436</v>
      </c>
      <c r="H70" s="7">
        <f>IF(OR($E70="—",$G70="—"),"—",ROUND($G70/$E70,0))</f>
        <v/>
      </c>
      <c r="I70" s="8" t="n">
        <v>279415</v>
      </c>
      <c r="J70" s="7" t="n">
        <v>17</v>
      </c>
      <c r="K70" s="5" t="inlineStr">
        <is>
          <t>Matcha</t>
        </is>
      </c>
      <c r="L70" s="5" t="inlineStr">
        <is>
          <t>Grade tidak disebut</t>
        </is>
      </c>
      <c r="M70" s="10" t="n">
        <v>4</v>
      </c>
    </row>
    <row r="71">
      <c r="A71" s="4" t="n">
        <v>67</v>
      </c>
      <c r="B71" s="5" t="inlineStr">
        <is>
          <t>Matchamu</t>
        </is>
      </c>
      <c r="C71" s="5" t="inlineStr">
        <is>
          <t>Matchamu 2pcs Matcha Midori Powder 15gr</t>
        </is>
      </c>
      <c r="D71" s="6" t="inlineStr">
        <is>
          <t>1729980320451234416</t>
        </is>
      </c>
      <c r="E71" s="4" t="n">
        <v>15</v>
      </c>
      <c r="F71" s="5" t="inlineStr">
        <is>
          <t>Tidak tertera</t>
        </is>
      </c>
      <c r="G71" s="7" t="n">
        <v>19379</v>
      </c>
      <c r="H71" s="7">
        <f>IF(OR($E71="—",$G71="—"),"—",ROUND($G71/$E71,0))</f>
        <v/>
      </c>
      <c r="I71" s="8" t="n">
        <v>135651</v>
      </c>
      <c r="J71" s="7" t="n">
        <v>7</v>
      </c>
      <c r="K71" s="5" t="inlineStr">
        <is>
          <t>Matcha</t>
        </is>
      </c>
      <c r="L71" s="5" t="inlineStr">
        <is>
          <t>Grade tidak disebut</t>
        </is>
      </c>
      <c r="M71" s="10" t="n">
        <v>4</v>
      </c>
    </row>
    <row r="72">
      <c r="A72" s="13" t="n"/>
      <c r="B72" s="14" t="inlineStr">
        <is>
          <t>TOTAL</t>
        </is>
      </c>
      <c r="C72" s="13" t="n"/>
      <c r="D72" s="13" t="n"/>
      <c r="E72" s="13" t="n"/>
      <c r="F72" s="13" t="n"/>
      <c r="G72" s="13" t="n"/>
      <c r="H72" s="13" t="n"/>
      <c r="I72" s="15">
        <f>SUM(I5:I71)</f>
        <v/>
      </c>
      <c r="J72" s="15">
        <f>SUM(J5:J71)</f>
        <v/>
      </c>
      <c r="K72" s="13" t="n"/>
      <c r="L72" s="13" t="n"/>
      <c r="M72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44" customWidth="1" min="4" max="4"/>
    <col width="24" customWidth="1" min="5" max="5"/>
  </cols>
  <sheetData>
    <row r="1">
      <c r="A1" s="1" t="inlineStr">
        <is>
          <t>Referensi Tingkatan (Tier) Matcha</t>
        </is>
      </c>
    </row>
    <row r="3">
      <c r="A3" s="3" t="inlineStr">
        <is>
          <t>Tier</t>
        </is>
      </c>
      <c r="B3" s="3" t="inlineStr">
        <is>
          <t>Grade</t>
        </is>
      </c>
      <c r="C3" s="3" t="inlineStr">
        <is>
          <t>Kegunaan</t>
        </is>
      </c>
      <c r="D3" s="3" t="inlineStr">
        <is>
          <t>Ciri</t>
        </is>
      </c>
      <c r="E3" s="3" t="inlineStr">
        <is>
          <t>Kisaran Harga/gram (ID)</t>
        </is>
      </c>
    </row>
    <row r="4">
      <c r="A4" s="9" t="n">
        <v>1</v>
      </c>
      <c r="B4" s="5" t="inlineStr">
        <is>
          <t>Ceremonial Grade</t>
        </is>
      </c>
      <c r="C4" s="5" t="inlineStr">
        <is>
          <t>Diminum langsung (whisk/latte murni)</t>
        </is>
      </c>
      <c r="D4" s="5" t="inlineStr">
        <is>
          <t>Daun termuda, hijau giok, umami halus, tak pahit</t>
        </is>
      </c>
      <c r="E4" s="5" t="inlineStr">
        <is>
          <t>± Rp1.200 – 3.000+/g</t>
        </is>
      </c>
    </row>
    <row r="5">
      <c r="A5" s="12" t="n">
        <v>2</v>
      </c>
      <c r="B5" s="5" t="inlineStr">
        <is>
          <t>Premium Grade</t>
        </is>
      </c>
      <c r="C5" s="5" t="inlineStr">
        <is>
          <t>Latte harian premium</t>
        </is>
      </c>
      <c r="D5" s="5" t="inlineStr">
        <is>
          <t>Kualitas baik, hijau cerah</t>
        </is>
      </c>
      <c r="E5" s="5" t="inlineStr">
        <is>
          <t>± Rp700 – 1.500/g</t>
        </is>
      </c>
    </row>
    <row r="6">
      <c r="A6" s="11" t="n">
        <v>3</v>
      </c>
      <c r="B6" s="5" t="inlineStr">
        <is>
          <t>Culinary/Latte Grade</t>
        </is>
      </c>
      <c r="C6" s="5" t="inlineStr">
        <is>
          <t>Campuran susu/gula, baking, es</t>
        </is>
      </c>
      <c r="D6" s="5" t="inlineStr">
        <is>
          <t>Rasa kuat/pahit agar tembus, warna lebih kusam</t>
        </is>
      </c>
      <c r="E6" s="5" t="inlineStr">
        <is>
          <t>± Rp100 – 700/g</t>
        </is>
      </c>
    </row>
    <row r="7">
      <c r="A7" s="10" t="n">
        <v>4</v>
      </c>
      <c r="B7" s="5" t="inlineStr">
        <is>
          <t>Grade tidak disebut</t>
        </is>
      </c>
      <c r="C7" s="5" t="inlineStr">
        <is>
          <t>Bervariasi (klaim 'pure' tanpa grade / lini bernama Jepang)</t>
        </is>
      </c>
      <c r="D7" s="5" t="inlineStr">
        <is>
          <t>Perlu cek harga/gram + foto</t>
        </is>
      </c>
      <c r="E7" s="5" t="inlineStr">
        <is>
          <t>Bervariasi</t>
        </is>
      </c>
    </row>
    <row r="9">
      <c r="A9" s="16" t="inlineStr">
        <is>
          <t>Catatan: lini bernama Jepang (mis. Matchamu Komorebi/Kana/Kyogetsu, Homelab Yukata/Washo) hanya diberi tier bila kata 'Ceremonial/Premium' tertera di nama. Sisanya 'Grade tidak disebut' — perlu mapping manual dari deskripsi/harga.</t>
        </is>
      </c>
    </row>
  </sheetData>
  <mergeCells count="1"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Ringkasan, Metodologi &amp; Keterbatasan</t>
        </is>
      </c>
    </row>
    <row r="3">
      <c r="A3" s="3" t="inlineStr">
        <is>
          <t>Brand</t>
        </is>
      </c>
      <c r="B3" s="3" t="inlineStr">
        <is>
          <t>Total SKU</t>
        </is>
      </c>
      <c r="C3" s="3" t="inlineStr">
        <is>
          <t>SKU Matcha</t>
        </is>
      </c>
      <c r="D3" s="3" t="inlineStr">
        <is>
          <t>Total GMV 30hr (Rp)</t>
        </is>
      </c>
      <c r="E3" s="3" t="inlineStr">
        <is>
          <t>Total Unit</t>
        </is>
      </c>
    </row>
    <row r="4">
      <c r="A4" s="17" t="inlineStr">
        <is>
          <t>Matchamu</t>
        </is>
      </c>
      <c r="B4" s="17" t="n">
        <v>75</v>
      </c>
      <c r="C4" s="17" t="n">
        <v>41</v>
      </c>
      <c r="D4" s="18" t="n">
        <v>550111958</v>
      </c>
      <c r="E4" s="18" t="n">
        <v>4584</v>
      </c>
    </row>
    <row r="5">
      <c r="A5" s="17" t="inlineStr">
        <is>
          <t>Bitenza</t>
        </is>
      </c>
      <c r="B5" s="17" t="n">
        <v>4</v>
      </c>
      <c r="C5" s="17" t="n">
        <v>4</v>
      </c>
      <c r="D5" s="18" t="n">
        <v>1148465529</v>
      </c>
      <c r="E5" s="18" t="n">
        <v>12784</v>
      </c>
    </row>
    <row r="6">
      <c r="A6" s="17" t="inlineStr">
        <is>
          <t>PIKULABS</t>
        </is>
      </c>
      <c r="B6" s="17" t="n">
        <v>4</v>
      </c>
      <c r="C6" s="17" t="n">
        <v>4</v>
      </c>
      <c r="D6" s="18" t="n">
        <v>1771075695</v>
      </c>
      <c r="E6" s="18" t="n">
        <v>16916</v>
      </c>
    </row>
    <row r="7">
      <c r="A7" s="17" t="inlineStr">
        <is>
          <t>Homelab</t>
        </is>
      </c>
      <c r="B7" s="17" t="n">
        <v>80</v>
      </c>
      <c r="C7" s="17" t="n">
        <v>13</v>
      </c>
      <c r="D7" s="18" t="n">
        <v>426055781</v>
      </c>
      <c r="E7" s="18" t="n">
        <v>2329</v>
      </c>
    </row>
    <row r="8">
      <c r="A8" s="17" t="inlineStr">
        <is>
          <t>Beeru</t>
        </is>
      </c>
      <c r="B8" s="17" t="n">
        <v>52</v>
      </c>
      <c r="C8" s="17" t="n">
        <v>5</v>
      </c>
      <c r="D8" s="18" t="n">
        <v>776069770</v>
      </c>
      <c r="E8" s="18" t="n">
        <v>10413</v>
      </c>
    </row>
    <row r="10">
      <c r="A10" s="19" t="inlineStr"/>
      <c r="B10" s="20" t="inlineStr"/>
    </row>
    <row r="11">
      <c r="A11" s="19" t="inlineStr">
        <is>
          <t>PERIODE</t>
        </is>
      </c>
      <c r="B11" s="20" t="inlineStr">
        <is>
          <t>30 hari terakhir. API ranking/katalog Kalodata membatasi ke 30 hari (bukan 90). Untuk 3 bulan: butuh 3 snapshot bulanan.</t>
        </is>
      </c>
    </row>
    <row r="12">
      <c r="A12" s="19" t="inlineStr">
        <is>
          <t>CAKUPAN</t>
        </is>
      </c>
      <c r="B12" s="20" t="inlineStr">
        <is>
          <t>SEMUA produk tiap brand (bukan hanya matcha). Termasuk lini non-matcha: hojicha, sakura, taro, coklat, latte, alat/aksesori (Homelab), dan stevia/pemanis (Beeru — brand ini dominan produk pemanis, hanya 5 SKU matcha).</t>
        </is>
      </c>
    </row>
    <row r="13">
      <c r="A13" s="19" t="inlineStr">
        <is>
          <t>GMV vs MARGIN</t>
        </is>
      </c>
      <c r="B13" s="20" t="inlineStr">
        <is>
          <t>Kolom GMV = Gross Merchandise Value (omzet), BUKAN margin laba. Kirim HPP untuk hitung margin nyata.</t>
        </is>
      </c>
    </row>
    <row r="14">
      <c r="A14" s="19" t="inlineStr">
        <is>
          <t>HARGA/GRAM</t>
        </is>
      </c>
      <c r="B14" s="20" t="inlineStr">
        <is>
          <t>Formula otomatis (harga/gramasi). Kosong bila gramasi tak terbaca dari nama (bundle/sachet/box/alat).</t>
        </is>
      </c>
    </row>
    <row r="15">
      <c r="A15" s="19" t="inlineStr">
        <is>
          <t>PACKAGING</t>
        </is>
      </c>
      <c r="B15" s="20" t="inlineStr">
        <is>
          <t>Diambil dari kata kunci di nama produk (tincan/kaleng, jar/toples, pouch, sachet/box, canister). Mayoritas 'Tidak tertera' — perlu verifikasi foto.</t>
        </is>
      </c>
    </row>
    <row r="16">
      <c r="A16" s="19" t="inlineStr">
        <is>
          <t>TIER MATCHA</t>
        </is>
      </c>
      <c r="B16" s="20" t="inlineStr">
        <is>
          <t>Sheet 'MATCHA + Tier' berisi 67 SKU matcha diurut per tier. Tier ditetapkan dari kata 'Ceremonial/Premium/First Harvest/Champion/Latte' di nama. Gunakan Harga/gram sebagai pembanding objektif.</t>
        </is>
      </c>
    </row>
    <row r="17">
      <c r="A17" s="19" t="inlineStr">
        <is>
          <t>AKURASI HARGA</t>
        </is>
      </c>
      <c r="B17" s="20" t="inlineStr">
        <is>
          <t>Harga = harga rata-rata/representatif dari Kalodata (bisa beda tipis antar-endpoint). Product ID valid untuk cek langsung di TikTok/Kalodata.</t>
        </is>
      </c>
    </row>
    <row r="18">
      <c r="A18" s="19" t="inlineStr">
        <is>
          <t>SUMBER</t>
        </is>
      </c>
      <c r="B18" s="20" t="inlineStr">
        <is>
          <t>Kalodata (KaloPilot), shop-level catalog per brand, region ID, TikTok Shop. Diambil 20 Jul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2026-07-22T07:16:37Z</dcterms:created>
  <dcterms:modified xsi:type="dcterms:W3CDTF">2026-07-22T07:16:37Z</dcterms:modified>
</cp:coreProperties>
</file>