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Tok - Kompetitor Matcha" sheetId="1" state="visible" r:id="rId1"/>
    <sheet name="Shopee - Kompetitor Matcha" sheetId="2" state="visible" r:id="rId2"/>
    <sheet name="Referensi Tier Matcha" sheetId="3" state="visible" r:id="rId3"/>
    <sheet name="Ringkasan &amp; Cata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20" customWidth="1" min="4" max="4"/>
    <col width="10" customWidth="1" min="5" max="5"/>
    <col width="20" customWidth="1" min="6" max="6"/>
    <col width="20" customWidth="1" min="7" max="7"/>
    <col width="14" customWidth="1" min="8" max="8"/>
    <col width="20" customWidth="1" min="9" max="9"/>
    <col width="13" customWidth="1" min="10" max="10"/>
    <col width="22" customWidth="1" min="11" max="11"/>
    <col width="20" customWidth="1" min="12" max="12"/>
    <col width="10" customWidth="1" min="13" max="13"/>
  </cols>
  <sheetData>
    <row r="1">
      <c r="A1" s="1" t="inlineStr">
        <is>
          <t>NOMUKITA — INTELIJEN KOMPETITOR MATCHA (TikTok Shop Indonesia)</t>
        </is>
      </c>
    </row>
    <row r="2">
      <c r="A2" s="2" t="inlineStr">
        <is>
          <t>Periode: 30 hari terakhir (API Kalodata membatasi ranking produk ke 30 hari, bukan 90) | Sumber: Kalodata | Diambil 20 Jul 2026</t>
        </is>
      </c>
    </row>
    <row r="4">
      <c r="A4" s="3" t="inlineStr">
        <is>
          <t>#</t>
        </is>
      </c>
      <c r="B4" s="3" t="inlineStr">
        <is>
          <t>Nama Brand</t>
        </is>
      </c>
      <c r="C4" s="3" t="inlineStr">
        <is>
          <t>Nama Produk</t>
        </is>
      </c>
      <c r="D4" s="3" t="inlineStr">
        <is>
          <t>Product ID</t>
        </is>
      </c>
      <c r="E4" s="3" t="inlineStr">
        <is>
          <t>Gramasi (g)</t>
        </is>
      </c>
      <c r="F4" s="3" t="inlineStr">
        <is>
          <t>Packaging</t>
        </is>
      </c>
      <c r="G4" s="3" t="inlineStr">
        <is>
          <t>Harga (Rp)</t>
        </is>
      </c>
      <c r="H4" s="3" t="inlineStr">
        <is>
          <t>Harga/gram (Rp)</t>
        </is>
      </c>
      <c r="I4" s="3" t="inlineStr">
        <is>
          <t>GMV / Revenue (Rp)</t>
        </is>
      </c>
      <c r="J4" s="3" t="inlineStr">
        <is>
          <t>Quantity Sold</t>
        </is>
      </c>
      <c r="K4" s="3" t="inlineStr">
        <is>
          <t>Flavor</t>
        </is>
      </c>
      <c r="L4" s="3" t="inlineStr">
        <is>
          <t>Matcha Grade (klaim)</t>
        </is>
      </c>
      <c r="M4" s="3" t="inlineStr">
        <is>
          <t>Tier Rank</t>
        </is>
      </c>
    </row>
    <row r="5">
      <c r="A5" s="4" t="n">
        <v>1</v>
      </c>
      <c r="B5" s="5" t="inlineStr">
        <is>
          <t>Bitenza Official Store</t>
        </is>
      </c>
      <c r="C5" s="5" t="inlineStr">
        <is>
          <t>Bitenza - 100% Pure Matcha 50gr</t>
        </is>
      </c>
      <c r="D5" s="6" t="inlineStr">
        <is>
          <t>1731922730066740485</t>
        </is>
      </c>
      <c r="E5" s="4" t="n">
        <v>50</v>
      </c>
      <c r="F5" s="5" t="inlineStr">
        <is>
          <t>Tidak tertera</t>
        </is>
      </c>
      <c r="G5" s="5" t="inlineStr">
        <is>
          <t>Rp 84.063</t>
        </is>
      </c>
      <c r="H5" s="7">
        <f>ROUND(84063/50,0)</f>
        <v/>
      </c>
      <c r="I5" s="8" t="n">
        <v>1022645081</v>
      </c>
      <c r="J5" s="7" t="n">
        <v>12204</v>
      </c>
      <c r="K5" s="5" t="inlineStr">
        <is>
          <t>Matcha (pure)</t>
        </is>
      </c>
      <c r="L5" s="5" t="inlineStr">
        <is>
          <t>Grade tidak disebut</t>
        </is>
      </c>
      <c r="M5" s="9" t="n">
        <v>4</v>
      </c>
    </row>
    <row r="6">
      <c r="A6" s="4" t="n">
        <v>2</v>
      </c>
      <c r="B6" s="5" t="inlineStr">
        <is>
          <t>Noomimatcha Official</t>
        </is>
      </c>
      <c r="C6" s="5" t="inlineStr">
        <is>
          <t>Noomimatcha Pure Matcha Powder Premium Grade 100gr</t>
        </is>
      </c>
      <c r="D6" s="6" t="inlineStr">
        <is>
          <t>1731709821362341282</t>
        </is>
      </c>
      <c r="E6" s="4" t="n">
        <v>100</v>
      </c>
      <c r="F6" s="5" t="inlineStr">
        <is>
          <t>Tidak tertera</t>
        </is>
      </c>
      <c r="G6" s="5" t="inlineStr">
        <is>
          <t>Rp 97.148</t>
        </is>
      </c>
      <c r="H6" s="7">
        <f>ROUND(97148/100,0)</f>
        <v/>
      </c>
      <c r="I6" s="8" t="n">
        <v>633775755</v>
      </c>
      <c r="J6" s="7" t="n">
        <v>7788</v>
      </c>
      <c r="K6" s="5" t="inlineStr">
        <is>
          <t>Matcha (pure)</t>
        </is>
      </c>
      <c r="L6" s="5" t="inlineStr">
        <is>
          <t>Premium</t>
        </is>
      </c>
      <c r="M6" s="10" t="n">
        <v>2</v>
      </c>
    </row>
    <row r="7">
      <c r="A7" s="4" t="n">
        <v>3</v>
      </c>
      <c r="B7" s="5" t="inlineStr">
        <is>
          <t>Nutrifarm Official</t>
        </is>
      </c>
      <c r="C7" s="5" t="inlineStr">
        <is>
          <t>NUTRIFARM PREMIUM MATCHA POWDER 440G ORGANIK</t>
        </is>
      </c>
      <c r="D7" s="6" t="inlineStr">
        <is>
          <t>1729990141087353038</t>
        </is>
      </c>
      <c r="E7" s="4" t="n">
        <v>440</v>
      </c>
      <c r="F7" s="5" t="inlineStr">
        <is>
          <t>Tidak tertera</t>
        </is>
      </c>
      <c r="G7" s="5" t="inlineStr">
        <is>
          <t>Rp 45.760</t>
        </is>
      </c>
      <c r="H7" s="7">
        <f>ROUND(45760/440,0)</f>
        <v/>
      </c>
      <c r="I7" s="8" t="n">
        <v>423639890</v>
      </c>
      <c r="J7" s="7" t="n">
        <v>7879</v>
      </c>
      <c r="K7" s="5" t="inlineStr">
        <is>
          <t>Matcha (pure/organik)</t>
        </is>
      </c>
      <c r="L7" s="5" t="inlineStr">
        <is>
          <t>Premium (klaim)</t>
        </is>
      </c>
      <c r="M7" s="10" t="n">
        <v>2</v>
      </c>
    </row>
    <row r="8">
      <c r="A8" s="4" t="n">
        <v>4</v>
      </c>
      <c r="B8" s="5" t="inlineStr">
        <is>
          <t>Matchamu Official</t>
        </is>
      </c>
      <c r="C8" s="5" t="inlineStr">
        <is>
          <t>Matchamu Kana Ceremonial Matcha Powder 500gr</t>
        </is>
      </c>
      <c r="D8" s="6" t="inlineStr">
        <is>
          <t>1735899549646751344</t>
        </is>
      </c>
      <c r="E8" s="4" t="n">
        <v>500</v>
      </c>
      <c r="F8" s="5" t="inlineStr">
        <is>
          <t>Tidak tertera</t>
        </is>
      </c>
      <c r="G8" s="5" t="inlineStr">
        <is>
          <t>Rp 1.490.266</t>
        </is>
      </c>
      <c r="H8" s="7">
        <f>ROUND(1490266/500,0)</f>
        <v/>
      </c>
      <c r="I8" s="8" t="n">
        <v>203226616</v>
      </c>
      <c r="J8" s="7" t="n">
        <v>143</v>
      </c>
      <c r="K8" s="5" t="inlineStr">
        <is>
          <t>Matcha (pure)</t>
        </is>
      </c>
      <c r="L8" s="5" t="inlineStr">
        <is>
          <t>Ceremonial</t>
        </is>
      </c>
      <c r="M8" s="11" t="n">
        <v>1</v>
      </c>
    </row>
    <row r="9">
      <c r="A9" s="4" t="n">
        <v>5</v>
      </c>
      <c r="B9" s="5" t="inlineStr">
        <is>
          <t>PIKULABS Official Store</t>
        </is>
      </c>
      <c r="C9" s="5" t="inlineStr">
        <is>
          <t>[OFFICIAL STORE] PIKULABS - Pure Matcha</t>
        </is>
      </c>
      <c r="D9" s="6" t="inlineStr">
        <is>
          <t>1735516783355725708</t>
        </is>
      </c>
      <c r="E9" s="4" t="inlineStr">
        <is>
          <t>—</t>
        </is>
      </c>
      <c r="F9" s="5" t="inlineStr">
        <is>
          <t>Tidak tertera</t>
        </is>
      </c>
      <c r="G9" s="5" t="inlineStr">
        <is>
          <t>Rp 100.475</t>
        </is>
      </c>
      <c r="H9" s="7" t="inlineStr">
        <is>
          <t>—</t>
        </is>
      </c>
      <c r="I9" s="8" t="n">
        <v>202374140</v>
      </c>
      <c r="J9" s="7" t="n">
        <v>1924</v>
      </c>
      <c r="K9" s="5" t="inlineStr">
        <is>
          <t>Matcha (pure)</t>
        </is>
      </c>
      <c r="L9" s="5" t="inlineStr">
        <is>
          <t>Grade tidak disebut</t>
        </is>
      </c>
      <c r="M9" s="9" t="n">
        <v>4</v>
      </c>
    </row>
    <row r="10">
      <c r="A10" s="4" t="n">
        <v>6</v>
      </c>
      <c r="B10" s="5" t="inlineStr">
        <is>
          <t>MAXFOOD Official</t>
        </is>
      </c>
      <c r="C10" s="5" t="inlineStr">
        <is>
          <t>MAXFOOD - Matcha Milkshake Powder / Bubuk Minuman Rasa Matcha</t>
        </is>
      </c>
      <c r="D10" s="6" t="inlineStr">
        <is>
          <t>1729643025303569420</t>
        </is>
      </c>
      <c r="E10" s="4" t="n">
        <v>1000</v>
      </c>
      <c r="F10" s="5" t="inlineStr">
        <is>
          <t>Tidak tertera</t>
        </is>
      </c>
      <c r="G10" s="5" t="inlineStr">
        <is>
          <t>Rp 17.895 - 189.433</t>
        </is>
      </c>
      <c r="H10" s="7">
        <f>ROUND(189433/1000,0)</f>
        <v/>
      </c>
      <c r="I10" s="8" t="n">
        <v>165999566</v>
      </c>
      <c r="J10" s="7" t="n">
        <v>3944</v>
      </c>
      <c r="K10" s="5" t="inlineStr">
        <is>
          <t>Matcha Milkshake (rasa)</t>
        </is>
      </c>
      <c r="L10" s="5" t="inlineStr">
        <is>
          <t>Culinary/minuman rasa</t>
        </is>
      </c>
      <c r="M10" s="12" t="n">
        <v>3</v>
      </c>
    </row>
    <row r="11">
      <c r="A11" s="4" t="n">
        <v>7</v>
      </c>
      <c r="B11" s="5" t="inlineStr">
        <is>
          <t>Nutrifarm Official</t>
        </is>
      </c>
      <c r="C11" s="5" t="inlineStr">
        <is>
          <t>NUTRIFARM PREMIUM MATCHA POWDER 270G ORGANIK</t>
        </is>
      </c>
      <c r="D11" s="6" t="inlineStr">
        <is>
          <t>1729990139933853902</t>
        </is>
      </c>
      <c r="E11" s="4" t="n">
        <v>270</v>
      </c>
      <c r="F11" s="5" t="inlineStr">
        <is>
          <t>Tidak tertera</t>
        </is>
      </c>
      <c r="G11" s="5" t="inlineStr">
        <is>
          <t>Rp 55.087</t>
        </is>
      </c>
      <c r="H11" s="7">
        <f>ROUND(55087/270,0)</f>
        <v/>
      </c>
      <c r="I11" s="8" t="n">
        <v>129907273</v>
      </c>
      <c r="J11" s="7" t="n">
        <v>3449</v>
      </c>
      <c r="K11" s="5" t="inlineStr">
        <is>
          <t>Matcha (pure/organik)</t>
        </is>
      </c>
      <c r="L11" s="5" t="inlineStr">
        <is>
          <t>Premium (klaim)</t>
        </is>
      </c>
      <c r="M11" s="10" t="n">
        <v>2</v>
      </c>
    </row>
    <row r="12">
      <c r="A12" s="4" t="n">
        <v>8</v>
      </c>
      <c r="B12" s="5" t="inlineStr">
        <is>
          <t>PIKULABS Official Store</t>
        </is>
      </c>
      <c r="C12" s="5" t="inlineStr">
        <is>
          <t>[2pcs] PIKULABS - Pure Matcha</t>
        </is>
      </c>
      <c r="D12" s="6" t="inlineStr">
        <is>
          <t>1733483332828956556</t>
        </is>
      </c>
      <c r="E12" s="4" t="inlineStr">
        <is>
          <t>—</t>
        </is>
      </c>
      <c r="F12" s="5" t="inlineStr">
        <is>
          <t>Tidak tertera (bundle 2pcs)</t>
        </is>
      </c>
      <c r="G12" s="5" t="inlineStr">
        <is>
          <t>Rp 223.190</t>
        </is>
      </c>
      <c r="H12" s="7" t="inlineStr">
        <is>
          <t>—</t>
        </is>
      </c>
      <c r="I12" s="8" t="n">
        <v>120084457</v>
      </c>
      <c r="J12" s="7" t="n">
        <v>538</v>
      </c>
      <c r="K12" s="5" t="inlineStr">
        <is>
          <t>Matcha (pure)</t>
        </is>
      </c>
      <c r="L12" s="5" t="inlineStr">
        <is>
          <t>Grade tidak disebut</t>
        </is>
      </c>
      <c r="M12" s="9" t="n">
        <v>4</v>
      </c>
    </row>
    <row r="13">
      <c r="A13" s="4" t="n">
        <v>9</v>
      </c>
      <c r="B13" s="5" t="inlineStr">
        <is>
          <t>MEIBIE Official</t>
        </is>
      </c>
      <c r="C13" s="5" t="inlineStr">
        <is>
          <t>MEIBIE MATCHA PINK LATTE (new launching)</t>
        </is>
      </c>
      <c r="D13" s="6" t="inlineStr">
        <is>
          <t>1735673186154808400</t>
        </is>
      </c>
      <c r="E13" s="4" t="inlineStr">
        <is>
          <t>—</t>
        </is>
      </c>
      <c r="F13" s="5" t="inlineStr">
        <is>
          <t>Tidak tertera</t>
        </is>
      </c>
      <c r="G13" s="5" t="inlineStr">
        <is>
          <t>Rp 635.107 - 666.003</t>
        </is>
      </c>
      <c r="H13" s="7" t="inlineStr">
        <is>
          <t>—</t>
        </is>
      </c>
      <c r="I13" s="8" t="n">
        <v>113815060</v>
      </c>
      <c r="J13" s="7" t="n">
        <v>185</v>
      </c>
      <c r="K13" s="5" t="inlineStr">
        <is>
          <t>Matcha Pink Latte (rasa)</t>
        </is>
      </c>
      <c r="L13" s="5" t="inlineStr">
        <is>
          <t>Culinary/latte</t>
        </is>
      </c>
      <c r="M13" s="12" t="n">
        <v>3</v>
      </c>
    </row>
    <row r="14">
      <c r="A14" s="4" t="n">
        <v>10</v>
      </c>
      <c r="B14" s="5" t="inlineStr">
        <is>
          <t>Homelab Official</t>
        </is>
      </c>
      <c r="C14" s="5" t="inlineStr">
        <is>
          <t>100% PURE UJI MATCHA Japan Premium Grade 1KG</t>
        </is>
      </c>
      <c r="D14" s="6" t="inlineStr">
        <is>
          <t>1730557013401765444</t>
        </is>
      </c>
      <c r="E14" s="4" t="n">
        <v>1000</v>
      </c>
      <c r="F14" s="5" t="inlineStr">
        <is>
          <t>Tidak tertera</t>
        </is>
      </c>
      <c r="G14" s="5" t="inlineStr">
        <is>
          <t>Rp 1.462.789</t>
        </is>
      </c>
      <c r="H14" s="7">
        <f>ROUND(1462789/1000,0)</f>
        <v/>
      </c>
      <c r="I14" s="8" t="n">
        <v>92682511</v>
      </c>
      <c r="J14" s="7" t="n">
        <v>62</v>
      </c>
      <c r="K14" s="5" t="inlineStr">
        <is>
          <t>Matcha (pure uji)</t>
        </is>
      </c>
      <c r="L14" s="5" t="inlineStr">
        <is>
          <t>Premium</t>
        </is>
      </c>
      <c r="M14" s="10" t="n">
        <v>2</v>
      </c>
    </row>
    <row r="15">
      <c r="A15" s="4" t="n">
        <v>11</v>
      </c>
      <c r="B15" s="5" t="inlineStr">
        <is>
          <t>Seorin Official</t>
        </is>
      </c>
      <c r="C15" s="5" t="inlineStr">
        <is>
          <t>Seorin Pure Matcha Powder Ceremonial Inspired 100g</t>
        </is>
      </c>
      <c r="D15" s="6" t="inlineStr">
        <is>
          <t>1734303491605694165</t>
        </is>
      </c>
      <c r="E15" s="4" t="n">
        <v>100</v>
      </c>
      <c r="F15" s="5" t="inlineStr">
        <is>
          <t>Tidak tertera</t>
        </is>
      </c>
      <c r="G15" s="5" t="inlineStr">
        <is>
          <t>Rp 125.166</t>
        </is>
      </c>
      <c r="H15" s="7">
        <f>ROUND(125166/100,0)</f>
        <v/>
      </c>
      <c r="I15" s="8" t="n">
        <v>88222418</v>
      </c>
      <c r="J15" s="7" t="n">
        <v>734</v>
      </c>
      <c r="K15" s="5" t="inlineStr">
        <is>
          <t>Matcha (pure)</t>
        </is>
      </c>
      <c r="L15" s="5" t="inlineStr">
        <is>
          <t>Ceremonial-inspired</t>
        </is>
      </c>
      <c r="M15" s="10" t="n">
        <v>2</v>
      </c>
    </row>
    <row r="16">
      <c r="A16" s="4" t="n">
        <v>12</v>
      </c>
      <c r="B16" s="5" t="inlineStr">
        <is>
          <t>Homelab Official</t>
        </is>
      </c>
      <c r="C16" s="5" t="inlineStr">
        <is>
          <t>Homelab Pure Uji Matcha Japan 200 Gram</t>
        </is>
      </c>
      <c r="D16" s="6" t="inlineStr">
        <is>
          <t>1729667276441553476</t>
        </is>
      </c>
      <c r="E16" s="4" t="n">
        <v>200</v>
      </c>
      <c r="F16" s="5" t="inlineStr">
        <is>
          <t>Tidak tertera</t>
        </is>
      </c>
      <c r="G16" s="5" t="inlineStr">
        <is>
          <t>Rp 246.781</t>
        </is>
      </c>
      <c r="H16" s="7">
        <f>ROUND(246781/200,0)</f>
        <v/>
      </c>
      <c r="I16" s="8" t="n">
        <v>78654078</v>
      </c>
      <c r="J16" s="7" t="n">
        <v>292</v>
      </c>
      <c r="K16" s="5" t="inlineStr">
        <is>
          <t>Matcha (pure uji)</t>
        </is>
      </c>
      <c r="L16" s="5" t="inlineStr">
        <is>
          <t>Premium (uji)</t>
        </is>
      </c>
      <c r="M16" s="10" t="n">
        <v>2</v>
      </c>
    </row>
    <row r="17">
      <c r="A17" s="4" t="n">
        <v>13</v>
      </c>
      <c r="B17" s="5" t="inlineStr">
        <is>
          <t>Beeru Official</t>
        </is>
      </c>
      <c r="C17" s="5" t="inlineStr">
        <is>
          <t>Beeru Pure Matcha Powder 50gr Premium Japan</t>
        </is>
      </c>
      <c r="D17" s="6" t="inlineStr">
        <is>
          <t>1729563573420984129</t>
        </is>
      </c>
      <c r="E17" s="4" t="n">
        <v>50</v>
      </c>
      <c r="F17" s="5" t="inlineStr">
        <is>
          <t>Tidak tertera</t>
        </is>
      </c>
      <c r="G17" s="5" t="inlineStr">
        <is>
          <t>Rp 44.467</t>
        </is>
      </c>
      <c r="H17" s="7">
        <f>ROUND(44467/50,0)</f>
        <v/>
      </c>
      <c r="I17" s="8" t="n">
        <v>67490151</v>
      </c>
      <c r="J17" s="7" t="n">
        <v>1310</v>
      </c>
      <c r="K17" s="5" t="inlineStr">
        <is>
          <t>Matcha (pure)</t>
        </is>
      </c>
      <c r="L17" s="5" t="inlineStr">
        <is>
          <t>Premium</t>
        </is>
      </c>
      <c r="M17" s="10" t="n">
        <v>2</v>
      </c>
    </row>
    <row r="18">
      <c r="A18" s="4" t="n">
        <v>14</v>
      </c>
      <c r="B18" s="5" t="inlineStr">
        <is>
          <t>Masterista Official</t>
        </is>
      </c>
      <c r="C18" s="5" t="inlineStr">
        <is>
          <t>Bubuk Minuman Masterista Matcha Original 800gr</t>
        </is>
      </c>
      <c r="D18" s="6" t="inlineStr">
        <is>
          <t>1729827224119838511</t>
        </is>
      </c>
      <c r="E18" s="4" t="n">
        <v>800</v>
      </c>
      <c r="F18" s="5" t="inlineStr">
        <is>
          <t>Tidak tertera</t>
        </is>
      </c>
      <c r="G18" s="5" t="inlineStr">
        <is>
          <t>Rp 177.884</t>
        </is>
      </c>
      <c r="H18" s="7">
        <f>ROUND(177884/800,0)</f>
        <v/>
      </c>
      <c r="I18" s="8" t="n">
        <v>60775966</v>
      </c>
      <c r="J18" s="7" t="n">
        <v>346</v>
      </c>
      <c r="K18" s="5" t="inlineStr">
        <is>
          <t>Matcha Original (minuman)</t>
        </is>
      </c>
      <c r="L18" s="5" t="inlineStr">
        <is>
          <t>Culinary/minuman</t>
        </is>
      </c>
      <c r="M18" s="12" t="n">
        <v>3</v>
      </c>
    </row>
    <row r="19">
      <c r="A19" s="4" t="n">
        <v>15</v>
      </c>
      <c r="B19" s="5" t="inlineStr">
        <is>
          <t>Arnav Store</t>
        </is>
      </c>
      <c r="C19" s="5" t="inlineStr">
        <is>
          <t>Matcha Powder Drink Arnav 1 Kg - Bubuk Minuman Premium</t>
        </is>
      </c>
      <c r="D19" s="6" t="inlineStr">
        <is>
          <t>1729941245715843226</t>
        </is>
      </c>
      <c r="E19" s="4" t="n">
        <v>1000</v>
      </c>
      <c r="F19" s="5" t="inlineStr">
        <is>
          <t>Tidak tertera</t>
        </is>
      </c>
      <c r="G19" s="5" t="inlineStr">
        <is>
          <t>Rp 243.196</t>
        </is>
      </c>
      <c r="H19" s="7">
        <f>ROUND(243196/1000,0)</f>
        <v/>
      </c>
      <c r="I19" s="8" t="n">
        <v>58944198</v>
      </c>
      <c r="J19" s="7" t="n">
        <v>527</v>
      </c>
      <c r="K19" s="5" t="inlineStr">
        <is>
          <t>Matcha (minuman)</t>
        </is>
      </c>
      <c r="L19" s="5" t="inlineStr">
        <is>
          <t>Culinary/minuman</t>
        </is>
      </c>
      <c r="M19" s="12" t="n">
        <v>3</v>
      </c>
    </row>
    <row r="20">
      <c r="A20" s="4" t="n">
        <v>16</v>
      </c>
      <c r="B20" s="5" t="inlineStr">
        <is>
          <t>Nutrifarm Official</t>
        </is>
      </c>
      <c r="C20" s="5" t="inlineStr">
        <is>
          <t>Nutrifarm Pure Matcha Powder Ceremonial Grade</t>
        </is>
      </c>
      <c r="D20" s="6" t="inlineStr">
        <is>
          <t>1731594317325173966</t>
        </is>
      </c>
      <c r="E20" s="4" t="inlineStr">
        <is>
          <t>—</t>
        </is>
      </c>
      <c r="F20" s="5" t="inlineStr">
        <is>
          <t>Tidak tertera</t>
        </is>
      </c>
      <c r="G20" s="5" t="inlineStr">
        <is>
          <t>Rp 27.005 - 136.153</t>
        </is>
      </c>
      <c r="H20" s="7" t="inlineStr">
        <is>
          <t>—</t>
        </is>
      </c>
      <c r="I20" s="8" t="n">
        <v>48943351</v>
      </c>
      <c r="J20" s="7" t="n">
        <v>1477</v>
      </c>
      <c r="K20" s="5" t="inlineStr">
        <is>
          <t>Matcha (pure)</t>
        </is>
      </c>
      <c r="L20" s="5" t="inlineStr">
        <is>
          <t>Ceremonial</t>
        </is>
      </c>
      <c r="M20" s="11" t="n">
        <v>1</v>
      </c>
    </row>
    <row r="21">
      <c r="A21" s="4" t="n">
        <v>17</v>
      </c>
      <c r="B21" s="5" t="inlineStr">
        <is>
          <t>Homelab Official</t>
        </is>
      </c>
      <c r="C21" s="5" t="inlineStr">
        <is>
          <t>Homelab Pure Uji Matcha Japan</t>
        </is>
      </c>
      <c r="D21" s="6" t="inlineStr">
        <is>
          <t>1729615319056288324</t>
        </is>
      </c>
      <c r="E21" s="4" t="inlineStr">
        <is>
          <t>—</t>
        </is>
      </c>
      <c r="F21" s="5" t="inlineStr">
        <is>
          <t>Tidak tertera</t>
        </is>
      </c>
      <c r="G21" s="5" t="inlineStr">
        <is>
          <t>Rp 116.465 - 136.720</t>
        </is>
      </c>
      <c r="H21" s="7" t="inlineStr">
        <is>
          <t>—</t>
        </is>
      </c>
      <c r="I21" s="8" t="n">
        <v>47680736</v>
      </c>
      <c r="J21" s="7" t="n">
        <v>370</v>
      </c>
      <c r="K21" s="5" t="inlineStr">
        <is>
          <t>Matcha (pure uji)</t>
        </is>
      </c>
      <c r="L21" s="5" t="inlineStr">
        <is>
          <t>Premium (uji)</t>
        </is>
      </c>
      <c r="M21" s="10" t="n">
        <v>2</v>
      </c>
    </row>
    <row r="22">
      <c r="A22" s="4" t="n">
        <v>18</v>
      </c>
      <c r="B22" s="5" t="inlineStr">
        <is>
          <t>HEIZL Official</t>
        </is>
      </c>
      <c r="C22" s="5" t="inlineStr">
        <is>
          <t>HEIZL Matcha Japanese Green Tea Powder 100gr (Kaleng)</t>
        </is>
      </c>
      <c r="D22" s="6" t="inlineStr">
        <is>
          <t>1729641871164737654</t>
        </is>
      </c>
      <c r="E22" s="4" t="n">
        <v>100</v>
      </c>
      <c r="F22" s="5" t="inlineStr">
        <is>
          <t>Tin Can / Kaleng</t>
        </is>
      </c>
      <c r="G22" s="5" t="inlineStr">
        <is>
          <t>Rp 126.086 - 269.817</t>
        </is>
      </c>
      <c r="H22" s="7">
        <f>ROUND(269817/100,0)</f>
        <v/>
      </c>
      <c r="I22" s="8" t="n">
        <v>47186541</v>
      </c>
      <c r="J22" s="7" t="n">
        <v>363</v>
      </c>
      <c r="K22" s="5" t="inlineStr">
        <is>
          <t>Matcha / Green Tea</t>
        </is>
      </c>
      <c r="L22" s="5" t="inlineStr">
        <is>
          <t>Culinary/green tea</t>
        </is>
      </c>
      <c r="M22" s="12" t="n">
        <v>3</v>
      </c>
    </row>
    <row r="23">
      <c r="A23" s="4" t="n">
        <v>19</v>
      </c>
      <c r="B23" s="5" t="inlineStr">
        <is>
          <t>Matchamu Official</t>
        </is>
      </c>
      <c r="C23" s="5" t="inlineStr">
        <is>
          <t>Matchamu Matcha Pure Powder 1kg</t>
        </is>
      </c>
      <c r="D23" s="6" t="inlineStr">
        <is>
          <t>1730966728292664944</t>
        </is>
      </c>
      <c r="E23" s="4" t="n">
        <v>1000</v>
      </c>
      <c r="F23" s="5" t="inlineStr">
        <is>
          <t>Tidak tertera</t>
        </is>
      </c>
      <c r="G23" s="5" t="inlineStr">
        <is>
          <t>Rp 1.027.759</t>
        </is>
      </c>
      <c r="H23" s="7">
        <f>ROUND(1027759/1000,0)</f>
        <v/>
      </c>
      <c r="I23" s="8" t="n">
        <v>46043403</v>
      </c>
      <c r="J23" s="7" t="n">
        <v>52</v>
      </c>
      <c r="K23" s="5" t="inlineStr">
        <is>
          <t>Matcha (pure)</t>
        </is>
      </c>
      <c r="L23" s="5" t="inlineStr">
        <is>
          <t>Premium</t>
        </is>
      </c>
      <c r="M23" s="10" t="n">
        <v>2</v>
      </c>
    </row>
    <row r="24">
      <c r="A24" s="4" t="n">
        <v>20</v>
      </c>
      <c r="B24" s="5" t="inlineStr">
        <is>
          <t>Matchamu Official</t>
        </is>
      </c>
      <c r="C24" s="5" t="inlineStr">
        <is>
          <t>Matchamu Matcha Powder 100gr</t>
        </is>
      </c>
      <c r="D24" s="6" t="inlineStr">
        <is>
          <t>1729615209575975536</t>
        </is>
      </c>
      <c r="E24" s="4" t="n">
        <v>100</v>
      </c>
      <c r="F24" s="5" t="inlineStr">
        <is>
          <t>Tidak tertera</t>
        </is>
      </c>
      <c r="G24" s="5" t="inlineStr">
        <is>
          <t>Rp 110.384</t>
        </is>
      </c>
      <c r="H24" s="7">
        <f>ROUND(110384/100,0)</f>
        <v/>
      </c>
      <c r="I24" s="8" t="n">
        <v>44077877</v>
      </c>
      <c r="J24" s="7" t="n">
        <v>517</v>
      </c>
      <c r="K24" s="5" t="inlineStr">
        <is>
          <t>Matcha (pure)</t>
        </is>
      </c>
      <c r="L24" s="5" t="inlineStr">
        <is>
          <t>Premium</t>
        </is>
      </c>
      <c r="M24" s="10" t="n">
        <v>2</v>
      </c>
    </row>
    <row r="25">
      <c r="A25" s="4" t="n">
        <v>21</v>
      </c>
      <c r="B25" s="5" t="inlineStr">
        <is>
          <t>PIKULABS Official Store</t>
        </is>
      </c>
      <c r="C25" s="5" t="inlineStr">
        <is>
          <t>[3pcs] PIKULABS - Pure Matcha</t>
        </is>
      </c>
      <c r="D25" s="6" t="inlineStr">
        <is>
          <t>1733483291378747276</t>
        </is>
      </c>
      <c r="E25" s="4" t="inlineStr">
        <is>
          <t>—</t>
        </is>
      </c>
      <c r="F25" s="5" t="inlineStr">
        <is>
          <t>Tidak tertera (bundle 3pcs)</t>
        </is>
      </c>
      <c r="G25" s="5" t="inlineStr">
        <is>
          <t>Rp 390.232</t>
        </is>
      </c>
      <c r="H25" s="7" t="inlineStr">
        <is>
          <t>—</t>
        </is>
      </c>
      <c r="I25" s="8" t="n">
        <v>43891463</v>
      </c>
      <c r="J25" s="7" t="n">
        <v>127</v>
      </c>
      <c r="K25" s="5" t="inlineStr">
        <is>
          <t>Matcha (pure)</t>
        </is>
      </c>
      <c r="L25" s="5" t="inlineStr">
        <is>
          <t>Grade tidak disebut</t>
        </is>
      </c>
      <c r="M25" s="9" t="n">
        <v>4</v>
      </c>
    </row>
    <row r="26">
      <c r="A26" s="4" t="n">
        <v>22</v>
      </c>
      <c r="B26" s="5" t="inlineStr">
        <is>
          <t>Beorganik Official</t>
        </is>
      </c>
      <c r="C26" s="5" t="inlineStr">
        <is>
          <t>Beorganik JAR Pure Matcha Powder 50gr Uji Matcha</t>
        </is>
      </c>
      <c r="D26" s="6" t="inlineStr">
        <is>
          <t>1731973578681845171</t>
        </is>
      </c>
      <c r="E26" s="4" t="n">
        <v>50</v>
      </c>
      <c r="F26" s="5" t="inlineStr">
        <is>
          <t>Jar / Toples</t>
        </is>
      </c>
      <c r="G26" s="5" t="inlineStr">
        <is>
          <t>Rp 25.977 - 205.987</t>
        </is>
      </c>
      <c r="H26" s="7">
        <f>ROUND(205987/50,0)</f>
        <v/>
      </c>
      <c r="I26" s="8" t="n">
        <v>41228037</v>
      </c>
      <c r="J26" s="7" t="n">
        <v>1108</v>
      </c>
      <c r="K26" s="5" t="inlineStr">
        <is>
          <t>Matcha (pure uji)</t>
        </is>
      </c>
      <c r="L26" s="5" t="inlineStr">
        <is>
          <t>Grade tidak disebut</t>
        </is>
      </c>
      <c r="M26" s="9" t="n">
        <v>4</v>
      </c>
    </row>
    <row r="28">
      <c r="A28" s="13" t="inlineStr">
        <is>
          <t>Catatan: 'Harga/gram' dihitung otomatis hanya untuk produk dengan gramasi &amp; harga satuan jelas. Harga rentang (mis. bundle/multi-size) memakai harga tertinggi di kolom Harga; harga/gram dikosongkan. GMV = Gross Merchandise Value (omzet), BUKAN margin laba. Tier Rank: 1=Ceremonial, 2=Premium, 3=Culinary/Minuman, 4=Grade tidak disebut. Packaging mayoritas tidak tertera di nama produk — perlu verifikasi foto.</t>
        </is>
      </c>
    </row>
  </sheetData>
  <mergeCells count="1"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16" customWidth="1" min="4" max="4"/>
    <col width="10" customWidth="1" min="5" max="5"/>
    <col width="18" customWidth="1" min="6" max="6"/>
    <col width="16" customWidth="1" min="7" max="7"/>
    <col width="22" customWidth="1" min="8" max="8"/>
    <col width="20" customWidth="1" min="9" max="9"/>
    <col width="10" customWidth="1" min="10" max="10"/>
  </cols>
  <sheetData>
    <row r="1">
      <c r="A1" s="1" t="inlineStr">
        <is>
          <t>Kompetitor Matcha — Shopee Indonesia (30 hari terakhir)</t>
        </is>
      </c>
    </row>
    <row r="2">
      <c r="A2" s="2" t="inlineStr">
        <is>
          <t>Catatan: Kalodata tidak mengembalikan Harga &amp; GMV untuk Shopee pada tarikan ini (hanya Quantity Sold &amp; gramasi). Harga/GMV perlu dicek manual di Shopee.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>
        <v>1</v>
      </c>
      <c r="B4" s="5" t="inlineStr">
        <is>
          <t>Nutrifarm</t>
        </is>
      </c>
      <c r="C4" s="5" t="inlineStr">
        <is>
          <t>Nutrifarm Pure Matcha Powder Ceremonial Grade 100gr</t>
        </is>
      </c>
      <c r="D4" s="6" t="inlineStr">
        <is>
          <t>40203217097</t>
        </is>
      </c>
      <c r="E4" s="4" t="n">
        <v>100</v>
      </c>
      <c r="F4" s="5" t="inlineStr">
        <is>
          <t>Tidak tertera</t>
        </is>
      </c>
      <c r="G4" s="7" t="n">
        <v>3212</v>
      </c>
      <c r="H4" s="5" t="inlineStr">
        <is>
          <t>Matcha (pure)</t>
        </is>
      </c>
      <c r="I4" s="5" t="inlineStr">
        <is>
          <t>Ceremonial</t>
        </is>
      </c>
      <c r="J4" s="11" t="n">
        <v>1</v>
      </c>
    </row>
    <row r="5">
      <c r="A5" s="4" t="n">
        <v>2</v>
      </c>
      <c r="B5" s="5" t="inlineStr">
        <is>
          <t>Homelab</t>
        </is>
      </c>
      <c r="C5" s="5" t="inlineStr">
        <is>
          <t>Homelab 100% Pure Matcha 50 gram</t>
        </is>
      </c>
      <c r="D5" s="6" t="inlineStr">
        <is>
          <t>42007008258</t>
        </is>
      </c>
      <c r="E5" s="4" t="n">
        <v>50</v>
      </c>
      <c r="F5" s="5" t="inlineStr">
        <is>
          <t>Tidak tertera</t>
        </is>
      </c>
      <c r="G5" s="7" t="n">
        <v>2547</v>
      </c>
      <c r="H5" s="5" t="inlineStr">
        <is>
          <t>Matcha (pure)</t>
        </is>
      </c>
      <c r="I5" s="5" t="inlineStr">
        <is>
          <t>Grade tidak disebut</t>
        </is>
      </c>
      <c r="J5" s="9" t="n">
        <v>4</v>
      </c>
    </row>
    <row r="6">
      <c r="A6" s="4" t="n">
        <v>3</v>
      </c>
      <c r="B6" s="5" t="inlineStr">
        <is>
          <t>Homelab</t>
        </is>
      </c>
      <c r="C6" s="5" t="inlineStr">
        <is>
          <t>Homelab 100% Pure Uji Matcha Japan Premium Grade</t>
        </is>
      </c>
      <c r="D6" s="6" t="inlineStr">
        <is>
          <t>5135960572</t>
        </is>
      </c>
      <c r="E6" s="4" t="inlineStr">
        <is>
          <t>—</t>
        </is>
      </c>
      <c r="F6" s="5" t="inlineStr">
        <is>
          <t>Tidak tertera</t>
        </is>
      </c>
      <c r="G6" s="7" t="n">
        <v>2458</v>
      </c>
      <c r="H6" s="5" t="inlineStr">
        <is>
          <t>Matcha (pure uji)</t>
        </is>
      </c>
      <c r="I6" s="5" t="inlineStr">
        <is>
          <t>Premium</t>
        </is>
      </c>
      <c r="J6" s="10" t="n">
        <v>2</v>
      </c>
    </row>
    <row r="7">
      <c r="A7" s="4" t="n">
        <v>4</v>
      </c>
      <c r="B7" s="5" t="inlineStr">
        <is>
          <t>Naturabite / Noomi</t>
        </is>
      </c>
      <c r="C7" s="5" t="inlineStr">
        <is>
          <t>Naturabite Pure Matcha Powder Premium Grade 100gr</t>
        </is>
      </c>
      <c r="D7" s="6" t="inlineStr">
        <is>
          <t>42174283770</t>
        </is>
      </c>
      <c r="E7" s="4" t="n">
        <v>100</v>
      </c>
      <c r="F7" s="5" t="inlineStr">
        <is>
          <t>Tidak tertera</t>
        </is>
      </c>
      <c r="G7" s="7" t="n">
        <v>2219</v>
      </c>
      <c r="H7" s="5" t="inlineStr">
        <is>
          <t>Matcha (pure)</t>
        </is>
      </c>
      <c r="I7" s="5" t="inlineStr">
        <is>
          <t>Premium</t>
        </is>
      </c>
      <c r="J7" s="10" t="n">
        <v>2</v>
      </c>
    </row>
    <row r="8">
      <c r="A8" s="4" t="n">
        <v>5</v>
      </c>
      <c r="B8" s="5" t="inlineStr">
        <is>
          <t>Matchamu</t>
        </is>
      </c>
      <c r="C8" s="5" t="inlineStr">
        <is>
          <t>Matchamu Matcha Powder 50gr</t>
        </is>
      </c>
      <c r="D8" s="6" t="inlineStr">
        <is>
          <t>892333748</t>
        </is>
      </c>
      <c r="E8" s="4" t="n">
        <v>50</v>
      </c>
      <c r="F8" s="5" t="inlineStr">
        <is>
          <t>Tidak tertera</t>
        </is>
      </c>
      <c r="G8" s="7" t="n">
        <v>2215</v>
      </c>
      <c r="H8" s="5" t="inlineStr">
        <is>
          <t>Matcha (pure)</t>
        </is>
      </c>
      <c r="I8" s="5" t="inlineStr">
        <is>
          <t>Premium</t>
        </is>
      </c>
      <c r="J8" s="10" t="n">
        <v>2</v>
      </c>
    </row>
    <row r="9">
      <c r="A9" s="4" t="n">
        <v>6</v>
      </c>
      <c r="B9" s="5" t="inlineStr">
        <is>
          <t>Beeru</t>
        </is>
      </c>
      <c r="C9" s="5" t="inlineStr">
        <is>
          <t>Beeru Pure Matcha Powder 50gr Premium Japan</t>
        </is>
      </c>
      <c r="D9" s="6" t="inlineStr">
        <is>
          <t>24166504966</t>
        </is>
      </c>
      <c r="E9" s="4" t="n">
        <v>50</v>
      </c>
      <c r="F9" s="5" t="inlineStr">
        <is>
          <t>Tidak tertera</t>
        </is>
      </c>
      <c r="G9" s="7" t="n">
        <v>1823</v>
      </c>
      <c r="H9" s="5" t="inlineStr">
        <is>
          <t>Matcha (pure)</t>
        </is>
      </c>
      <c r="I9" s="5" t="inlineStr">
        <is>
          <t>Premium</t>
        </is>
      </c>
      <c r="J9" s="10" t="n">
        <v>2</v>
      </c>
    </row>
    <row r="10">
      <c r="A10" s="4" t="n">
        <v>7</v>
      </c>
      <c r="B10" s="5" t="inlineStr">
        <is>
          <t>Generic</t>
        </is>
      </c>
      <c r="C10" s="5" t="inlineStr">
        <is>
          <t>Bubuk Matcha 1Kg</t>
        </is>
      </c>
      <c r="D10" s="6" t="inlineStr">
        <is>
          <t>23422997930</t>
        </is>
      </c>
      <c r="E10" s="4" t="n">
        <v>1000</v>
      </c>
      <c r="F10" s="5" t="inlineStr">
        <is>
          <t>Tidak tertera</t>
        </is>
      </c>
      <c r="G10" s="7" t="n">
        <v>1994</v>
      </c>
      <c r="H10" s="5" t="inlineStr">
        <is>
          <t>Matcha (minuman)</t>
        </is>
      </c>
      <c r="I10" s="5" t="inlineStr">
        <is>
          <t>Culinary</t>
        </is>
      </c>
      <c r="J10" s="12" t="n">
        <v>3</v>
      </c>
    </row>
    <row r="11">
      <c r="A11" s="4" t="n">
        <v>8</v>
      </c>
      <c r="B11" s="5" t="inlineStr">
        <is>
          <t>Denali</t>
        </is>
      </c>
      <c r="C11" s="5" t="inlineStr">
        <is>
          <t>Powder Matcha Denali</t>
        </is>
      </c>
      <c r="D11" s="6" t="inlineStr">
        <is>
          <t>22704484057</t>
        </is>
      </c>
      <c r="E11" s="4" t="inlineStr">
        <is>
          <t>—</t>
        </is>
      </c>
      <c r="F11" s="5" t="inlineStr">
        <is>
          <t>Tidak tertera</t>
        </is>
      </c>
      <c r="G11" s="7" t="n">
        <v>1473</v>
      </c>
      <c r="H11" s="5" t="inlineStr">
        <is>
          <t>Matcha (minuman)</t>
        </is>
      </c>
      <c r="I11" s="5" t="inlineStr">
        <is>
          <t>Culinary</t>
        </is>
      </c>
      <c r="J11" s="12" t="n">
        <v>3</v>
      </c>
    </row>
    <row r="12">
      <c r="A12" s="4" t="n">
        <v>9</v>
      </c>
      <c r="B12" s="5" t="inlineStr">
        <is>
          <t>Homelab</t>
        </is>
      </c>
      <c r="C12" s="5" t="inlineStr">
        <is>
          <t>Homelab Bubuk Minuman Matcha Premium 200 Gr</t>
        </is>
      </c>
      <c r="D12" s="6" t="inlineStr">
        <is>
          <t>6531776765</t>
        </is>
      </c>
      <c r="E12" s="4" t="n">
        <v>200</v>
      </c>
      <c r="F12" s="5" t="inlineStr">
        <is>
          <t>Tidak tertera</t>
        </is>
      </c>
      <c r="G12" s="7" t="n">
        <v>1225</v>
      </c>
      <c r="H12" s="5" t="inlineStr">
        <is>
          <t>Matcha (minuman)</t>
        </is>
      </c>
      <c r="I12" s="5" t="inlineStr">
        <is>
          <t>Premium (klaim)</t>
        </is>
      </c>
      <c r="J12" s="10" t="n">
        <v>2</v>
      </c>
    </row>
    <row r="13">
      <c r="A13" s="4" t="n">
        <v>10</v>
      </c>
      <c r="B13" s="5" t="inlineStr">
        <is>
          <t>MAXFOOD</t>
        </is>
      </c>
      <c r="C13" s="5" t="inlineStr">
        <is>
          <t>MAXFOOD - Matcha Milkshake Powder 1 KG</t>
        </is>
      </c>
      <c r="D13" s="6" t="inlineStr">
        <is>
          <t>21609862416</t>
        </is>
      </c>
      <c r="E13" s="4" t="n">
        <v>1000</v>
      </c>
      <c r="F13" s="5" t="inlineStr">
        <is>
          <t>Tidak tertera</t>
        </is>
      </c>
      <c r="G13" s="7" t="n">
        <v>1174</v>
      </c>
      <c r="H13" s="5" t="inlineStr">
        <is>
          <t>Matcha Milkshake (rasa)</t>
        </is>
      </c>
      <c r="I13" s="5" t="inlineStr">
        <is>
          <t>Culinary</t>
        </is>
      </c>
      <c r="J13" s="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44" customWidth="1" min="4" max="4"/>
    <col width="26" customWidth="1" min="5" max="5"/>
  </cols>
  <sheetData>
    <row r="1">
      <c r="A1" s="1" t="inlineStr">
        <is>
          <t>Referensi Tingkatan (Grade/Tier) Matcha</t>
        </is>
      </c>
    </row>
    <row r="3">
      <c r="A3" s="3" t="inlineStr">
        <is>
          <t>Tier Rank</t>
        </is>
      </c>
      <c r="B3" s="3" t="inlineStr">
        <is>
          <t>Grade</t>
        </is>
      </c>
      <c r="C3" s="3" t="inlineStr">
        <is>
          <t>Kegunaan Utama</t>
        </is>
      </c>
      <c r="D3" s="3" t="inlineStr">
        <is>
          <t>Ciri</t>
        </is>
      </c>
      <c r="E3" s="3" t="inlineStr">
        <is>
          <t>Kisaran Harga/gram (pasar ID)</t>
        </is>
      </c>
    </row>
    <row r="4">
      <c r="A4" s="11" t="n">
        <v>1</v>
      </c>
      <c r="B4" s="5" t="inlineStr">
        <is>
          <t>Ceremonial Grade</t>
        </is>
      </c>
      <c r="C4" s="5" t="inlineStr">
        <is>
          <t>Diminum langsung (dikocok/whisk, matcha latte murni)</t>
        </is>
      </c>
      <c r="D4" s="5" t="inlineStr">
        <is>
          <t>Daun termuda (first harvest), warna hijau giok pekat, rasa umami halus, tidak pahit</t>
        </is>
      </c>
      <c r="E4" s="5" t="inlineStr">
        <is>
          <t>± Rp1.200 – Rp3.000+/g</t>
        </is>
      </c>
    </row>
    <row r="5">
      <c r="A5" s="10" t="n">
        <v>2</v>
      </c>
      <c r="B5" s="5" t="inlineStr">
        <is>
          <t>Premium Grade</t>
        </is>
      </c>
      <c r="C5" s="5" t="inlineStr">
        <is>
          <t>Latte harian, minuman premium</t>
        </is>
      </c>
      <c r="D5" s="5" t="inlineStr">
        <is>
          <t>Kualitas baik, warna hijau cerah, sedikit lebih tajam dari ceremonial</t>
        </is>
      </c>
      <c r="E5" s="5" t="inlineStr">
        <is>
          <t>± Rp700 – Rp1.500/g</t>
        </is>
      </c>
    </row>
    <row r="6">
      <c r="A6" s="12" t="n">
        <v>3</v>
      </c>
      <c r="B6" s="5" t="inlineStr">
        <is>
          <t>Culinary / Classic Grade</t>
        </is>
      </c>
      <c r="C6" s="5" t="inlineStr">
        <is>
          <t>Campuran minuman, baking, milkshake, es matcha</t>
        </is>
      </c>
      <c r="D6" s="5" t="inlineStr">
        <is>
          <t>Rasa lebih kuat/pahit agar 'tembus' saat dicampur susu/gula, warna lebih kusam</t>
        </is>
      </c>
      <c r="E6" s="5" t="inlineStr">
        <is>
          <t>± Rp100 – Rp700/g</t>
        </is>
      </c>
    </row>
    <row r="7">
      <c r="A7" s="9" t="n">
        <v>4</v>
      </c>
      <c r="B7" s="5" t="inlineStr">
        <is>
          <t>Grade tidak disebut</t>
        </is>
      </c>
      <c r="C7" s="5" t="inlineStr">
        <is>
          <t>Bervariasi (klaim 'pure' tanpa grade)</t>
        </is>
      </c>
      <c r="D7" s="5" t="inlineStr">
        <is>
          <t>Perlu cek harga/gram &amp; foto untuk menilai posisi sebenarnya</t>
        </is>
      </c>
      <c r="E7" s="5" t="inlineStr">
        <is>
          <t>Bervariasi</t>
        </is>
      </c>
    </row>
    <row r="9">
      <c r="A9" s="13" t="inlineStr">
        <is>
          <t>Cara pakai: bandingkan kolom 'Harga/gram' di sheet TikTok dengan kisaran di atas untuk mengecek apakah klaim grade sesuai harga. Contoh: Nutrifarm 440g = ± Rp104/g → walau diberi label 'Premium', harga/gram-nya di zona Culinary. Sebaliknya Matchamu Kana Ceremonial = ± Rp2.981/g → konsisten dengan klaim ceremonial.</t>
        </is>
      </c>
    </row>
  </sheetData>
  <mergeCells count="1"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Ringkasan, Metodologi &amp; Keterbatasan Data</t>
        </is>
      </c>
    </row>
    <row r="3">
      <c r="A3" s="14" t="inlineStr"/>
      <c r="B3" s="15" t="inlineStr"/>
    </row>
    <row r="4">
      <c r="A4" s="14" t="inlineStr">
        <is>
          <t>PLATFORM</t>
        </is>
      </c>
      <c r="B4" s="15" t="inlineStr">
        <is>
          <t>Kalodata mencakup TikTok Shop DAN Shopee (region ID). Sheet 1 = TikTok (data lengkap), Sheet 2 = Shopee (harga &amp; GMV tidak dikembalikan pada tarikan ini).</t>
        </is>
      </c>
    </row>
    <row r="5">
      <c r="A5" s="14" t="inlineStr">
        <is>
          <t>PERIODE</t>
        </is>
      </c>
      <c r="B5" s="15" t="inlineStr">
        <is>
          <t>30 hari terakhir. API ranking produk Kalodata TIDAK mendukung 90 hari untuk TikTok maupun Shopee — jadi belum bisa 3 bulan penuh dalam satu tarikan. Untuk mendekati 3 bulan: tarik snapshot bulanan (3x) lalu digabung. Bisa saya bantu jadwalkan.</t>
        </is>
      </c>
    </row>
    <row r="6">
      <c r="A6" s="14" t="inlineStr">
        <is>
          <t>GMV vs MARGIN</t>
        </is>
      </c>
      <c r="B6" s="15" t="inlineStr">
        <is>
          <t>Kolom 'GMV/Revenue' = Gross Merchandise Value (omzet kotor), BUKAN margin laba. Margin laba butuh HPP/modal Anda. Kirim HPP per produk → saya hitung margin sungguhan.</t>
        </is>
      </c>
    </row>
    <row r="7">
      <c r="A7" s="14" t="inlineStr">
        <is>
          <t>HARGA/GRAM</t>
        </is>
      </c>
      <c r="B7" s="15" t="inlineStr">
        <is>
          <t>Dihitung otomatis (formula) untuk produk dengan gramasi &amp; harga satuan jelas. Metrik terpenting untuk membandingkan value &amp; memverifikasi klaim grade.</t>
        </is>
      </c>
    </row>
    <row r="8">
      <c r="A8" s="14" t="inlineStr">
        <is>
          <t>PACKAGING</t>
        </is>
      </c>
      <c r="B8" s="15" t="inlineStr">
        <is>
          <t>Mayoritas produk TIDAK menuliskan jenis kemasan (tin can/pouch) di nama produk. Yang jelas: HEIZL = Tin Can/Kaleng, Beorganik = Jar/Toples. Sisanya perlu verifikasi via foto produk — saya bisa bantu cek per produk prioritas.</t>
        </is>
      </c>
    </row>
    <row r="9">
      <c r="A9" s="14" t="inlineStr">
        <is>
          <t>TIER MATCHA</t>
        </is>
      </c>
      <c r="B9" s="15" t="inlineStr">
        <is>
          <t>Lihat sheet 'Referensi Tier Matcha'. Kolom 'Matcha Grade (klaim)' = grade yang tertera di nama produk; 'Tier Rank' 1-4. Gunakan Harga/gram sebagai pengecek objektif.</t>
        </is>
      </c>
    </row>
    <row r="10">
      <c r="A10" s="14" t="inlineStr">
        <is>
          <t>NOMUKITA</t>
        </is>
      </c>
      <c r="B10" s="16" t="inlineStr">
        <is>
          <t>TIDAK ditemukan di top 100 TikTok maupun Shopee untuk keyword 'matcha'/'matcha powder' selama periode ini. Artinya brand Anda belum ranking di kategori — ini gap yang perlu dikejar (SEO judul produk, iklan, konten).</t>
        </is>
      </c>
    </row>
    <row r="11">
      <c r="A11" s="14" t="inlineStr">
        <is>
          <t>KOMPETITOR UTAMA</t>
        </is>
      </c>
      <c r="B11" s="15" t="inlineStr">
        <is>
          <t>1) Bitenza (raja omzet TikTok, Rp1+ M/30hr, 50gr Rp84rb), 2) Noomimatcha/Naturabite (kuat 2 platform), 3) Nutrifarm (3 SKU), 4) Homelab (4 SKU), 5) Matchamu (multi-SKU, main di ceremonial), 6) PIKULABS (official store agresif).</t>
        </is>
      </c>
    </row>
    <row r="12">
      <c r="A12" s="14" t="inlineStr">
        <is>
          <t>SWEET SPOT GRAMASI</t>
        </is>
      </c>
      <c r="B12" s="15" t="inlineStr">
        <is>
          <t>50gr (trial, Bitenza/Beeru/Beorganik) &amp; 100gr (standar premium, Noomi/Nutrifarm/Seorin) paling laku. 1kg untuk cafe/UMKM.</t>
        </is>
      </c>
    </row>
    <row r="13">
      <c r="A13" s="14" t="inlineStr">
        <is>
          <t>PRODUK DIKELUARKAN</t>
        </is>
      </c>
      <c r="B13" s="15" t="inlineStr">
        <is>
          <t>Dari hasil mentah 'matcha' saya buang yang BUKAN minuman: LACOCO Matcha Gentle Wash (skincare), FreshCare Smash/Vapobalm (aromaterapi).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2026-07-22T06:52:40Z</dcterms:created>
  <dcterms:modified xsi:type="dcterms:W3CDTF">2026-07-22T06:52:40Z</dcterms:modified>
</cp:coreProperties>
</file>